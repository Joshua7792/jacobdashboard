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sant\jacobdashboard\cert_tracker\"/>
    </mc:Choice>
  </mc:AlternateContent>
  <xr:revisionPtr revIDLastSave="0" documentId="13_ncr:1_{005802A7-5560-4D73-8058-7581EBAAC684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Instructions" sheetId="1" r:id="rId1"/>
    <sheet name="Dashboard" sheetId="2" r:id="rId2"/>
    <sheet name="Certifications" sheetId="3" r:id="rId3"/>
    <sheet name="Contractors" sheetId="4" r:id="rId4"/>
    <sheet name="Workers" sheetId="5" r:id="rId5"/>
    <sheet name="Tracker" sheetId="6" r:id="rId6"/>
  </sheets>
  <definedNames>
    <definedName name="ContractorOption" comment="=Workers!$B$2:INDEX(Workers!$B:$B,LOOKUP(2,1/(Workers!$B:$B&lt;&gt;&quot;&quot;),ROW(Workers!$B:$B)))">Workers!$B$2:INDEX(Workers!$B:$B,LOOKUP(2,1/(Workers!$B:$B&lt;&gt;""),ROW(Workers!$B:$B)))</definedName>
    <definedName name="JobTitleOptions">Workers!$C$2:INDEX(Workers!$C:$C,LOOKUP(2,1/(Workers!$C:$C&lt;&gt;""),ROW(Workers!$C:$C)))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26" i="2"/>
  <c r="E26" i="2" s="1"/>
  <c r="F26" i="2" s="1"/>
  <c r="C26" i="2"/>
  <c r="D25" i="2"/>
  <c r="E25" i="2" s="1"/>
  <c r="F25" i="2" s="1"/>
  <c r="C25" i="2"/>
  <c r="D24" i="2"/>
  <c r="E24" i="2" s="1"/>
  <c r="F24" i="2" s="1"/>
  <c r="C24" i="2"/>
  <c r="D23" i="2"/>
  <c r="E23" i="2" s="1"/>
  <c r="F23" i="2" s="1"/>
  <c r="C23" i="2"/>
  <c r="D22" i="2"/>
  <c r="E22" i="2" s="1"/>
  <c r="F22" i="2" s="1"/>
  <c r="C22" i="2"/>
  <c r="D21" i="2"/>
  <c r="E21" i="2" s="1"/>
  <c r="F21" i="2" s="1"/>
  <c r="C21" i="2"/>
  <c r="D20" i="2"/>
  <c r="E20" i="2" s="1"/>
  <c r="F20" i="2" s="1"/>
  <c r="C20" i="2"/>
  <c r="D19" i="2"/>
  <c r="E19" i="2" s="1"/>
  <c r="F19" i="2" s="1"/>
  <c r="C19" i="2"/>
  <c r="D18" i="2"/>
  <c r="E18" i="2" s="1"/>
  <c r="F18" i="2" s="1"/>
  <c r="C18" i="2"/>
  <c r="D17" i="2"/>
  <c r="E17" i="2" s="1"/>
  <c r="F17" i="2" s="1"/>
  <c r="C17" i="2"/>
  <c r="D16" i="2"/>
  <c r="E16" i="2" s="1"/>
  <c r="F16" i="2" s="1"/>
  <c r="C16" i="2"/>
  <c r="D15" i="2"/>
  <c r="E15" i="2" s="1"/>
  <c r="F15" i="2" s="1"/>
  <c r="C15" i="2"/>
  <c r="D14" i="2"/>
  <c r="E14" i="2" s="1"/>
  <c r="F14" i="2" s="1"/>
  <c r="C14" i="2"/>
  <c r="D13" i="2"/>
  <c r="E13" i="2" s="1"/>
  <c r="F13" i="2" s="1"/>
  <c r="C13" i="2"/>
  <c r="D12" i="2"/>
  <c r="E12" i="2" s="1"/>
  <c r="F12" i="2" s="1"/>
  <c r="C12" i="2"/>
  <c r="D11" i="2"/>
  <c r="E11" i="2" s="1"/>
  <c r="F11" i="2" s="1"/>
  <c r="C11" i="2"/>
  <c r="D10" i="2"/>
  <c r="E10" i="2" s="1"/>
  <c r="F10" i="2" s="1"/>
  <c r="C10" i="2"/>
  <c r="D9" i="2"/>
  <c r="E9" i="2" s="1"/>
  <c r="F9" i="2" s="1"/>
  <c r="C9" i="2"/>
  <c r="G4" i="2"/>
  <c r="E4" i="2"/>
  <c r="C4" i="2"/>
  <c r="A4" i="2"/>
</calcChain>
</file>

<file path=xl/sharedStrings.xml><?xml version="1.0" encoding="utf-8"?>
<sst xmlns="http://schemas.openxmlformats.org/spreadsheetml/2006/main" count="250" uniqueCount="93">
  <si>
    <t>Worker Name</t>
  </si>
  <si>
    <t>Contractor</t>
  </si>
  <si>
    <t>Job Title</t>
  </si>
  <si>
    <t>Status</t>
  </si>
  <si>
    <t>Employee Code</t>
  </si>
  <si>
    <t>Hire Date</t>
  </si>
  <si>
    <t>Email</t>
  </si>
  <si>
    <t>Phone</t>
  </si>
  <si>
    <t>Notes</t>
  </si>
  <si>
    <t>William Rodriguez Rivera</t>
  </si>
  <si>
    <t>GeoEnviroTech, Inc.</t>
  </si>
  <si>
    <t>Project Geologist</t>
  </si>
  <si>
    <t>active</t>
  </si>
  <si>
    <t>Hardy Rodríguez Vázquez</t>
  </si>
  <si>
    <t>Civil Constructor</t>
  </si>
  <si>
    <t>Juan D. Negrón Hernández</t>
  </si>
  <si>
    <t>Rafael Díaz Colón</t>
  </si>
  <si>
    <t>Luis A. Padilla Díaz</t>
  </si>
  <si>
    <t>Jesús Quiñonez Ayala</t>
  </si>
  <si>
    <t>Héctor M. Rodríguez Alicea</t>
  </si>
  <si>
    <t>Cornerstone Industrial Group, Corp</t>
  </si>
  <si>
    <t>Rene J. Torres Blasini</t>
  </si>
  <si>
    <t>Jorge L. Figueroa Torres</t>
  </si>
  <si>
    <t>Giovani Torres</t>
  </si>
  <si>
    <t>Santos Rivera Tirado</t>
  </si>
  <si>
    <t>José J. Rincon</t>
  </si>
  <si>
    <t>Carlos O. Luhring</t>
  </si>
  <si>
    <t>Felipe Lopez Dinardi</t>
  </si>
  <si>
    <t>Contractor Certifications Tracker</t>
  </si>
  <si>
    <t>How to use this workbook</t>
  </si>
  <si>
    <t>1. Add new contractors on the Contractors tab.</t>
  </si>
  <si>
    <t>2. Add workers on the Workers tab. Each worker belongs to one contractor (pick from dropdown).</t>
  </si>
  <si>
    <t>3. Review required certifications on the Certifications tab. Add new ones if HSE adds them.</t>
  </si>
  <si>
    <t>4. On the Tracker tab, enter the completion date for each worker / certification combo.</t>
  </si>
  <si>
    <t>5. The Dashboard tab auto-updates: compliance %, missing certs, expiring soon.</t>
  </si>
  <si>
    <t>Color coding on the Tracker</t>
  </si>
  <si>
    <t>• Red cell     = certification missing (empty)</t>
  </si>
  <si>
    <t>• Yellow cell  = completed, expiring within 60 days</t>
  </si>
  <si>
    <t>• Orange cell  = expired (past validity based on Certifications tab)</t>
  </si>
  <si>
    <t>• Green cell   = current</t>
  </si>
  <si>
    <t>Sharing with peers</t>
  </si>
  <si>
    <t>Save this file to OneDrive or SharePoint and turn on co-authoring so peers can edit simultaneously.</t>
  </si>
  <si>
    <t>Every edit is tracked in Version History (File → Info → Version History).</t>
  </si>
  <si>
    <t>• Validity years in the Certifications tab drive expiration logic. 0 = no expiration.</t>
  </si>
  <si>
    <t>• Dates must be entered as real dates (mm/dd/yyyy), not text.</t>
  </si>
  <si>
    <t>Contractor Certifications Dashboard</t>
  </si>
  <si>
    <t>Total Contractors</t>
  </si>
  <si>
    <t>Total Workers</t>
  </si>
  <si>
    <t>Active Workers</t>
  </si>
  <si>
    <t>Today</t>
  </si>
  <si>
    <t>Compliance by Certification</t>
  </si>
  <si>
    <t>Certification</t>
  </si>
  <si>
    <t>Category</t>
  </si>
  <si>
    <t>Completed</t>
  </si>
  <si>
    <t>Missing</t>
  </si>
  <si>
    <t>% Complete</t>
  </si>
  <si>
    <t>Bar</t>
  </si>
  <si>
    <t>Protección Contra Caídas</t>
  </si>
  <si>
    <t>HSE Required</t>
  </si>
  <si>
    <t>Flama Expuesta</t>
  </si>
  <si>
    <t>Espacios Confinados</t>
  </si>
  <si>
    <t>Manejo de Equipo Motorizado</t>
  </si>
  <si>
    <t>Excavación o Zanja</t>
  </si>
  <si>
    <t>Manejo de Tijeras (Scissor Lift)</t>
  </si>
  <si>
    <t>Seguridad Eléctrica</t>
  </si>
  <si>
    <t>Lockout</t>
  </si>
  <si>
    <t>Manejo de Grúas</t>
  </si>
  <si>
    <t>Escaleras</t>
  </si>
  <si>
    <t>Andamios</t>
  </si>
  <si>
    <t>Trabajos con Plomo o Asbesto</t>
  </si>
  <si>
    <t>Comunicación de Riesgos</t>
  </si>
  <si>
    <t>Inducción Jacobs/Lilly</t>
  </si>
  <si>
    <t>Additional Training</t>
  </si>
  <si>
    <t>OSHA 40Hr HAZWOPER</t>
  </si>
  <si>
    <t>OSHA 8Hr Refresher</t>
  </si>
  <si>
    <t>Drilling Safety</t>
  </si>
  <si>
    <t>Utility Locating</t>
  </si>
  <si>
    <t>Validity (years, 0=none)</t>
  </si>
  <si>
    <t>OSHA 10</t>
  </si>
  <si>
    <t>OSHA 30</t>
  </si>
  <si>
    <t>Rebar Safety</t>
  </si>
  <si>
    <t>Formwork &amp; Shoring</t>
  </si>
  <si>
    <t>Silica Exposure</t>
  </si>
  <si>
    <t>Concrete &amp; Masonry</t>
  </si>
  <si>
    <t>Contractor Name</t>
  </si>
  <si>
    <t>Primary Contact</t>
  </si>
  <si>
    <t>Specialty</t>
  </si>
  <si>
    <t>Workers (count)</t>
  </si>
  <si>
    <t>Juan D. Negrón, PG</t>
  </si>
  <si>
    <t>Drilling / Geotechnical</t>
  </si>
  <si>
    <t xml:space="preserve">Civil Construction                                                                    </t>
  </si>
  <si>
    <t>HSE Required Certifications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</si>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</sst>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/dd/yyyy"/>
  </numFmts>
  <fonts count="9" x14ac:knownFonts="1">
    <font>
      <sz val="11"/>
      <color theme="1"/>
      <name val="Calibri"/>
      <family val="2"/>
      <scheme val="minor"/>
    </font>
    <font>
      <b/>
      <sz val="16"/>
      <color rgb="FF1F3A5F"/>
      <name val="Calibri"/>
    </font>
    <font>
      <b/>
      <sz val="12"/>
      <color rgb="FF1F3A5F"/>
      <name val="Calibri"/>
    </font>
    <font>
      <b/>
      <sz val="11"/>
      <color rgb="FFFFFFFF"/>
      <name val="Calibri"/>
    </font>
    <font>
      <b/>
      <sz val="10"/>
      <color rgb="FF1F3A5F"/>
      <name val="Calibri"/>
    </font>
    <font>
      <b/>
      <sz val="20"/>
      <color rgb="FF1F3A5F"/>
      <name val="Calibri"/>
    </font>
    <font>
      <b/>
      <sz val="13"/>
      <color rgb="FF1F3A5F"/>
      <name val="Calibri"/>
    </font>
    <font>
      <sz val="11"/>
      <color rgb="FF2E7D32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2E598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7" fillId="0" borderId="1" xfId="0" applyFont="1" applyBorder="1"/>
    <xf numFmtId="0" fontId="0" fillId="0" borderId="0" xfId="0" applyAlignment="1">
      <alignment wrapText="1"/>
    </xf>
    <xf numFmtId="0" fontId="2" fillId="0" borderId="0" xfId="0" applyFont="1"/>
    <xf numFmtId="165" fontId="0" fillId="0" borderId="0" xfId="0" applyNumberFormat="1"/>
    <xf numFmtId="0" fontId="0" fillId="2" borderId="0" xfId="0" applyFill="1"/>
    <xf numFmtId="165" fontId="0" fillId="0" borderId="1" xfId="0" applyNumberForma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5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6" fillId="0" borderId="0" xfId="0" applyFont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ertificationsTable" displayName="CertificationsTable" ref="A1:D60">
  <autoFilter ref="A1:D60" xr:uid="{00000000-0009-0000-0100-000001000000}"/>
  <tableColumns count="4">
    <tableColumn id="1" xr3:uid="{00000000-0010-0000-0000-000001000000}" name="Certification"/>
    <tableColumn id="2" xr3:uid="{00000000-0010-0000-0000-000002000000}" name="Category"/>
    <tableColumn id="3" xr3:uid="{00000000-0010-0000-0000-000003000000}" name="Validity (years, 0=none)"/>
    <tableColumn id="4" xr3:uid="{00000000-0010-0000-0000-000004000000}" name="No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tractorsTable" displayName="ContractorsTable" ref="A1:E50">
  <autoFilter ref="A1:E50" xr:uid="{00000000-0009-0000-0100-000002000000}"/>
  <tableColumns count="5">
    <tableColumn id="1" xr3:uid="{00000000-0010-0000-0100-000001000000}" name="Contractor Name"/>
    <tableColumn id="2" xr3:uid="{00000000-0010-0000-0100-000002000000}" name="Primary Contact"/>
    <tableColumn id="3" xr3:uid="{00000000-0010-0000-0100-000003000000}" name="Specialty"/>
    <tableColumn id="4" xr3:uid="{00000000-0010-0000-0100-000004000000}" name="Workers (count)" dataDxfId="5">
      <calculatedColumnFormula>IF(A2="","",COUNTIF(Workers!B:B,A2))</calculatedColumnFormula>
    </tableColumn>
    <tableColumn id="5" xr3:uid="{00000000-0010-0000-01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orkersTable" displayName="WorkersTable" ref="A1:I200">
  <autoFilter ref="A1:I200" xr:uid="{00000000-0009-0000-0100-000003000000}"/>
  <tableColumns count="9">
    <tableColumn id="1" xr3:uid="{00000000-0010-0000-0200-000001000000}" name="Worker Name"/>
    <tableColumn id="2" xr3:uid="{00000000-0010-0000-0200-000002000000}" name="Contractor"/>
    <tableColumn id="3" xr3:uid="{00000000-0010-0000-0200-000003000000}" name="Job Title"/>
    <tableColumn id="4" xr3:uid="{00000000-0010-0000-0200-000004000000}" name="Status"/>
    <tableColumn id="5" xr3:uid="{00000000-0010-0000-0200-000005000000}" name="Employee Code"/>
    <tableColumn id="6" xr3:uid="{00000000-0010-0000-0200-000006000000}" name="Hire Date"/>
    <tableColumn id="7" xr3:uid="{00000000-0010-0000-0200-000007000000}" name="Email"/>
    <tableColumn id="8" xr3:uid="{00000000-0010-0000-0200-000008000000}" name="Phone"/>
    <tableColumn id="9" xr3:uid="{00000000-0010-0000-0200-000009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ckerTable" displayName="TrackerTable" ref="A2:Z200">
  <autoFilter ref="A2:Z200" xr:uid="{00000000-0009-0000-0100-000004000000}"/>
  <tableColumns count="26">
    <tableColumn id="1" xr3:uid="{00000000-0010-0000-0300-000001000000}" name="Contractor"/>
    <tableColumn id="2" xr3:uid="{00000000-0010-0000-0300-000002000000}" name="Worker"/>
    <tableColumn id="3" xr3:uid="{00000000-0010-0000-0300-000003000000}" name="Protección Contra Caídas"/>
    <tableColumn id="4" xr3:uid="{00000000-0010-0000-0300-000004000000}" name="Flama Expuesta"/>
    <tableColumn id="5" xr3:uid="{00000000-0010-0000-0300-000005000000}" name="Espacios Confinados"/>
    <tableColumn id="6" xr3:uid="{00000000-0010-0000-0300-000006000000}" name="Manejo de Equipo Motorizado"/>
    <tableColumn id="7" xr3:uid="{00000000-0010-0000-0300-000007000000}" name="Excavación o Zanja"/>
    <tableColumn id="8" xr3:uid="{00000000-0010-0000-0300-000008000000}" name="Manejo de Tijeras (Scissor Lift)"/>
    <tableColumn id="9" xr3:uid="{00000000-0010-0000-0300-000009000000}" name="Seguridad Eléctrica"/>
    <tableColumn id="10" xr3:uid="{00000000-0010-0000-0300-00000A000000}" name="Lockout"/>
    <tableColumn id="11" xr3:uid="{00000000-0010-0000-0300-00000B000000}" name="Manejo de Grúas"/>
    <tableColumn id="12" xr3:uid="{00000000-0010-0000-0300-00000C000000}" name="Escaleras"/>
    <tableColumn id="13" xr3:uid="{00000000-0010-0000-0300-00000D000000}" name="Andamios"/>
    <tableColumn id="14" xr3:uid="{00000000-0010-0000-0300-00000E000000}" name="Trabajos con Plomo o Asbesto"/>
    <tableColumn id="15" xr3:uid="{00000000-0010-0000-0300-00000F000000}" name="Comunicación de Riesgos"/>
    <tableColumn id="16" xr3:uid="{00000000-0010-0000-0300-000010000000}" name="Inducción Jacobs/Lilly"/>
    <tableColumn id="17" xr3:uid="{00000000-0010-0000-0300-000011000000}" name="OSHA 40Hr HAZWOPER"/>
    <tableColumn id="18" xr3:uid="{00000000-0010-0000-0300-000012000000}" name="OSHA 8Hr Refresher"/>
    <tableColumn id="19" xr3:uid="{00000000-0010-0000-0300-000013000000}" name="Drilling Safety"/>
    <tableColumn id="20" xr3:uid="{00000000-0010-0000-0300-000014000000}" name="Utility Locating"/>
    <tableColumn id="21" xr3:uid="{00000000-0010-0000-0300-000015000000}" name="OSHA 10"/>
    <tableColumn id="22" xr3:uid="{00000000-0010-0000-0300-000016000000}" name="OSHA 30"/>
    <tableColumn id="23" xr3:uid="{00000000-0010-0000-0300-000017000000}" name="Rebar Safety"/>
    <tableColumn id="24" xr3:uid="{00000000-0010-0000-0300-000018000000}" name="Formwork &amp; Shoring"/>
    <tableColumn id="25" xr3:uid="{00000000-0010-0000-0300-000019000000}" name="Silica Exposure"/>
    <tableColumn id="26" xr3:uid="{00000000-0010-0000-0300-00001A000000}" name="Concrete &amp; Masonr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workbookViewId="0">
      <selection sqref="A1:F1"/>
    </sheetView>
  </sheetViews>
  <sheetFormatPr defaultRowHeight="15" x14ac:dyDescent="0.25"/>
  <cols>
    <col min="1" max="1" width="110" customWidth="1"/>
  </cols>
  <sheetData>
    <row r="1" spans="1:6" ht="21" customHeight="1" x14ac:dyDescent="0.35">
      <c r="A1" s="11" t="s">
        <v>28</v>
      </c>
      <c r="B1" s="12"/>
      <c r="C1" s="12"/>
      <c r="D1" s="12"/>
      <c r="E1" s="12"/>
      <c r="F1" s="12"/>
    </row>
    <row r="2" spans="1:6" x14ac:dyDescent="0.25">
      <c r="A2" s="5"/>
    </row>
    <row r="3" spans="1:6" ht="15.75" customHeight="1" x14ac:dyDescent="0.25">
      <c r="A3" s="6" t="s">
        <v>29</v>
      </c>
    </row>
    <row r="4" spans="1:6" x14ac:dyDescent="0.25">
      <c r="A4" s="5" t="s">
        <v>30</v>
      </c>
    </row>
    <row r="5" spans="1:6" x14ac:dyDescent="0.25">
      <c r="A5" s="5" t="s">
        <v>31</v>
      </c>
    </row>
    <row r="6" spans="1:6" x14ac:dyDescent="0.25">
      <c r="A6" s="5" t="s">
        <v>32</v>
      </c>
    </row>
    <row r="7" spans="1:6" x14ac:dyDescent="0.25">
      <c r="A7" s="5" t="s">
        <v>33</v>
      </c>
    </row>
    <row r="8" spans="1:6" x14ac:dyDescent="0.25">
      <c r="A8" s="5" t="s">
        <v>34</v>
      </c>
    </row>
    <row r="9" spans="1:6" x14ac:dyDescent="0.25">
      <c r="A9" s="5"/>
    </row>
    <row r="10" spans="1:6" ht="15.75" customHeight="1" x14ac:dyDescent="0.25">
      <c r="A10" s="6" t="s">
        <v>35</v>
      </c>
    </row>
    <row r="11" spans="1:6" x14ac:dyDescent="0.25">
      <c r="A11" s="5" t="s">
        <v>36</v>
      </c>
    </row>
    <row r="12" spans="1:6" x14ac:dyDescent="0.25">
      <c r="A12" s="5" t="s">
        <v>37</v>
      </c>
    </row>
    <row r="13" spans="1:6" x14ac:dyDescent="0.25">
      <c r="A13" s="5" t="s">
        <v>38</v>
      </c>
    </row>
    <row r="14" spans="1:6" x14ac:dyDescent="0.25">
      <c r="A14" s="5" t="s">
        <v>39</v>
      </c>
    </row>
    <row r="15" spans="1:6" x14ac:dyDescent="0.25">
      <c r="A15" s="5"/>
    </row>
    <row r="16" spans="1:6" ht="15.75" customHeight="1" x14ac:dyDescent="0.25">
      <c r="A16" s="6" t="s">
        <v>40</v>
      </c>
    </row>
    <row r="17" spans="1:1" x14ac:dyDescent="0.25">
      <c r="A17" s="5" t="s">
        <v>41</v>
      </c>
    </row>
    <row r="18" spans="1:1" x14ac:dyDescent="0.25">
      <c r="A18" s="5" t="s">
        <v>42</v>
      </c>
    </row>
    <row r="19" spans="1:1" x14ac:dyDescent="0.25">
      <c r="A19" s="5"/>
    </row>
    <row r="20" spans="1:1" ht="15.75" customHeight="1" x14ac:dyDescent="0.25">
      <c r="A20" s="6" t="s">
        <v>8</v>
      </c>
    </row>
    <row r="21" spans="1:1" x14ac:dyDescent="0.25">
      <c r="A21" s="5" t="s">
        <v>43</v>
      </c>
    </row>
    <row r="22" spans="1:1" x14ac:dyDescent="0.25">
      <c r="A22" s="5" t="s">
        <v>44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showGridLines="0" workbookViewId="0">
      <pane ySplit="1" topLeftCell="A2" activePane="bottomLeft" state="frozen"/>
      <selection pane="bottomLeft" activeCell="K16" sqref="K16"/>
    </sheetView>
  </sheetViews>
  <sheetFormatPr defaultRowHeight="15" x14ac:dyDescent="0.25"/>
  <cols>
    <col min="1" max="1" width="28.42578125" bestFit="1" customWidth="1"/>
    <col min="2" max="2" width="18.140625" bestFit="1" customWidth="1"/>
    <col min="3" max="3" width="10.85546875" bestFit="1" customWidth="1"/>
    <col min="4" max="4" width="7.85546875" bestFit="1" customWidth="1"/>
    <col min="5" max="5" width="11.7109375" bestFit="1" customWidth="1"/>
    <col min="6" max="6" width="27.28515625" bestFit="1" customWidth="1"/>
    <col min="8" max="8" width="13.42578125" customWidth="1"/>
  </cols>
  <sheetData>
    <row r="1" spans="1:8" ht="21" customHeight="1" x14ac:dyDescent="0.35">
      <c r="A1" s="11" t="s">
        <v>45</v>
      </c>
      <c r="B1" s="12"/>
      <c r="C1" s="12"/>
      <c r="D1" s="12"/>
      <c r="E1" s="12"/>
      <c r="F1" s="12"/>
    </row>
    <row r="3" spans="1:8" x14ac:dyDescent="0.25">
      <c r="A3" s="14" t="s">
        <v>46</v>
      </c>
      <c r="B3" s="12"/>
      <c r="C3" s="14" t="s">
        <v>47</v>
      </c>
      <c r="D3" s="12"/>
      <c r="E3" s="14" t="s">
        <v>48</v>
      </c>
      <c r="F3" s="12"/>
      <c r="G3" s="14" t="s">
        <v>49</v>
      </c>
      <c r="H3" s="12"/>
    </row>
    <row r="4" spans="1:8" x14ac:dyDescent="0.25">
      <c r="A4" s="13">
        <f>COUNTA(Contractors!A2:A50)</f>
        <v>2</v>
      </c>
      <c r="B4" s="12"/>
      <c r="C4" s="13">
        <f>COUNTA(Workers!A2:A200)</f>
        <v>14</v>
      </c>
      <c r="D4" s="12"/>
      <c r="E4" s="13">
        <f>COUNTIFS(Workers!A2:A200,"&lt;&gt;",Workers!D2:D200,"active")</f>
        <v>14</v>
      </c>
      <c r="F4" s="12"/>
      <c r="G4" s="13" t="str">
        <f ca="1">TEXT(TODAY(),"mm/dd/yyyy")</f>
        <v>04/22/2026</v>
      </c>
      <c r="H4" s="12"/>
    </row>
    <row r="5" spans="1:8" x14ac:dyDescent="0.25">
      <c r="A5" s="12"/>
      <c r="B5" s="12"/>
      <c r="C5" s="12"/>
      <c r="D5" s="12"/>
      <c r="E5" s="12"/>
      <c r="F5" s="12"/>
      <c r="G5" s="12"/>
      <c r="H5" s="12"/>
    </row>
    <row r="7" spans="1:8" ht="17.25" customHeight="1" x14ac:dyDescent="0.3">
      <c r="A7" s="15" t="s">
        <v>50</v>
      </c>
      <c r="B7" s="12"/>
      <c r="C7" s="12"/>
      <c r="D7" s="12"/>
      <c r="E7" s="12"/>
      <c r="F7" s="12"/>
    </row>
    <row r="8" spans="1:8" x14ac:dyDescent="0.25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</row>
    <row r="9" spans="1:8" x14ac:dyDescent="0.25">
      <c r="A9" s="2" t="s">
        <v>57</v>
      </c>
      <c r="B9" s="2" t="s">
        <v>58</v>
      </c>
      <c r="C9" s="2">
        <f>COUNTA(Tracker!C3:C200)</f>
        <v>14</v>
      </c>
      <c r="D9" s="2">
        <f>COUNTA(Workers!A2:A200)-C9</f>
        <v>0</v>
      </c>
      <c r="E9" s="3">
        <f t="shared" ref="E9:E26" si="0">IFERROR(C9/(C9+D9),0)</f>
        <v>1</v>
      </c>
      <c r="F9" s="4" t="str">
        <f t="shared" ref="F9:F26" si="1">REPT("■",ROUND(E9*20,0))</f>
        <v>■■■■■■■■■■■■■■■■■■■■</v>
      </c>
    </row>
    <row r="10" spans="1:8" x14ac:dyDescent="0.25">
      <c r="A10" s="2" t="s">
        <v>59</v>
      </c>
      <c r="B10" s="2" t="s">
        <v>58</v>
      </c>
      <c r="C10" s="2">
        <f>COUNTA(Tracker!D3:D200)</f>
        <v>0</v>
      </c>
      <c r="D10" s="2">
        <f>COUNTA(Workers!A2:A200)-C10</f>
        <v>14</v>
      </c>
      <c r="E10" s="3">
        <f t="shared" si="0"/>
        <v>0</v>
      </c>
      <c r="F10" s="4" t="str">
        <f t="shared" si="1"/>
        <v/>
      </c>
    </row>
    <row r="11" spans="1:8" x14ac:dyDescent="0.25">
      <c r="A11" s="2" t="s">
        <v>60</v>
      </c>
      <c r="B11" s="2" t="s">
        <v>58</v>
      </c>
      <c r="C11" s="2">
        <f>COUNTA(Tracker!E3:E200)</f>
        <v>8</v>
      </c>
      <c r="D11" s="2">
        <f>COUNTA(Workers!A2:A200)-C11</f>
        <v>6</v>
      </c>
      <c r="E11" s="3">
        <f t="shared" si="0"/>
        <v>0.5714285714285714</v>
      </c>
      <c r="F11" s="4" t="str">
        <f t="shared" si="1"/>
        <v>■■■■■■■■■■■</v>
      </c>
    </row>
    <row r="12" spans="1:8" x14ac:dyDescent="0.25">
      <c r="A12" s="2" t="s">
        <v>61</v>
      </c>
      <c r="B12" s="2" t="s">
        <v>58</v>
      </c>
      <c r="C12" s="2">
        <f>COUNTA(Tracker!F3:F200)</f>
        <v>3</v>
      </c>
      <c r="D12" s="2">
        <f>COUNTA(Workers!A2:A200)-C12</f>
        <v>11</v>
      </c>
      <c r="E12" s="3">
        <f t="shared" si="0"/>
        <v>0.21428571428571427</v>
      </c>
      <c r="F12" s="4" t="str">
        <f t="shared" si="1"/>
        <v>■■■■</v>
      </c>
    </row>
    <row r="13" spans="1:8" x14ac:dyDescent="0.25">
      <c r="A13" s="2" t="s">
        <v>62</v>
      </c>
      <c r="B13" s="2" t="s">
        <v>58</v>
      </c>
      <c r="C13" s="2">
        <f>COUNTA(Tracker!G3:G200)</f>
        <v>8</v>
      </c>
      <c r="D13" s="2">
        <f>COUNTA(Workers!A2:A200)-C13</f>
        <v>6</v>
      </c>
      <c r="E13" s="3">
        <f t="shared" si="0"/>
        <v>0.5714285714285714</v>
      </c>
      <c r="F13" s="4" t="str">
        <f t="shared" si="1"/>
        <v>■■■■■■■■■■■</v>
      </c>
    </row>
    <row r="14" spans="1:8" x14ac:dyDescent="0.25">
      <c r="A14" s="2" t="s">
        <v>63</v>
      </c>
      <c r="B14" s="2" t="s">
        <v>58</v>
      </c>
      <c r="C14" s="2">
        <f>COUNTA(Tracker!H3:H200)</f>
        <v>8</v>
      </c>
      <c r="D14" s="2">
        <f>COUNTA(Workers!A2:A200)-C14</f>
        <v>6</v>
      </c>
      <c r="E14" s="3">
        <f t="shared" si="0"/>
        <v>0.5714285714285714</v>
      </c>
      <c r="F14" s="4" t="str">
        <f t="shared" si="1"/>
        <v>■■■■■■■■■■■</v>
      </c>
    </row>
    <row r="15" spans="1:8" x14ac:dyDescent="0.25">
      <c r="A15" s="2" t="s">
        <v>64</v>
      </c>
      <c r="B15" s="2" t="s">
        <v>58</v>
      </c>
      <c r="C15" s="2">
        <f>COUNTA(Tracker!I3:I200)</f>
        <v>9</v>
      </c>
      <c r="D15" s="2">
        <f>COUNTA(Workers!A2:A200)-C15</f>
        <v>5</v>
      </c>
      <c r="E15" s="3">
        <f t="shared" si="0"/>
        <v>0.6428571428571429</v>
      </c>
      <c r="F15" s="4" t="str">
        <f t="shared" si="1"/>
        <v>■■■■■■■■■■■■■</v>
      </c>
    </row>
    <row r="16" spans="1:8" x14ac:dyDescent="0.25">
      <c r="A16" s="2" t="s">
        <v>65</v>
      </c>
      <c r="B16" s="2" t="s">
        <v>58</v>
      </c>
      <c r="C16" s="2">
        <f>COUNTA(Tracker!J3:J200)</f>
        <v>9</v>
      </c>
      <c r="D16" s="2">
        <f>COUNTA(Workers!A2:A200)-C16</f>
        <v>5</v>
      </c>
      <c r="E16" s="3">
        <f t="shared" si="0"/>
        <v>0.6428571428571429</v>
      </c>
      <c r="F16" s="4" t="str">
        <f t="shared" si="1"/>
        <v>■■■■■■■■■■■■■</v>
      </c>
    </row>
    <row r="17" spans="1:6" x14ac:dyDescent="0.25">
      <c r="A17" s="2" t="s">
        <v>66</v>
      </c>
      <c r="B17" s="2" t="s">
        <v>58</v>
      </c>
      <c r="C17" s="2">
        <f>COUNTA(Tracker!K3:K200)</f>
        <v>3</v>
      </c>
      <c r="D17" s="2">
        <f>COUNTA(Workers!A2:A200)-C17</f>
        <v>11</v>
      </c>
      <c r="E17" s="3">
        <f t="shared" si="0"/>
        <v>0.21428571428571427</v>
      </c>
      <c r="F17" s="4" t="str">
        <f t="shared" si="1"/>
        <v>■■■■</v>
      </c>
    </row>
    <row r="18" spans="1:6" x14ac:dyDescent="0.25">
      <c r="A18" s="2" t="s">
        <v>67</v>
      </c>
      <c r="B18" s="2" t="s">
        <v>58</v>
      </c>
      <c r="C18" s="2">
        <f>COUNTA(Tracker!L3:L200)</f>
        <v>8</v>
      </c>
      <c r="D18" s="2">
        <f>COUNTA(Workers!A2:A200)-C18</f>
        <v>6</v>
      </c>
      <c r="E18" s="3">
        <f t="shared" si="0"/>
        <v>0.5714285714285714</v>
      </c>
      <c r="F18" s="4" t="str">
        <f t="shared" si="1"/>
        <v>■■■■■■■■■■■</v>
      </c>
    </row>
    <row r="19" spans="1:6" x14ac:dyDescent="0.25">
      <c r="A19" s="2" t="s">
        <v>68</v>
      </c>
      <c r="B19" s="2" t="s">
        <v>58</v>
      </c>
      <c r="C19" s="2">
        <f>COUNTA(Tracker!M3:M200)</f>
        <v>3</v>
      </c>
      <c r="D19" s="2">
        <f>COUNTA(Workers!A2:A200)-C19</f>
        <v>11</v>
      </c>
      <c r="E19" s="3">
        <f t="shared" si="0"/>
        <v>0.21428571428571427</v>
      </c>
      <c r="F19" s="4" t="str">
        <f t="shared" si="1"/>
        <v>■■■■</v>
      </c>
    </row>
    <row r="20" spans="1:6" x14ac:dyDescent="0.25">
      <c r="A20" s="2" t="s">
        <v>69</v>
      </c>
      <c r="B20" s="2" t="s">
        <v>58</v>
      </c>
      <c r="C20" s="2">
        <f>COUNTA(Tracker!N3:N200)</f>
        <v>0</v>
      </c>
      <c r="D20" s="2">
        <f>COUNTA(Workers!A2:A200)-C20</f>
        <v>14</v>
      </c>
      <c r="E20" s="3">
        <f t="shared" si="0"/>
        <v>0</v>
      </c>
      <c r="F20" s="4" t="str">
        <f t="shared" si="1"/>
        <v/>
      </c>
    </row>
    <row r="21" spans="1:6" x14ac:dyDescent="0.25">
      <c r="A21" s="2" t="s">
        <v>70</v>
      </c>
      <c r="B21" s="2" t="s">
        <v>58</v>
      </c>
      <c r="C21" s="2">
        <f>COUNTA(Tracker!O3:O200)</f>
        <v>14</v>
      </c>
      <c r="D21" s="2">
        <f>COUNTA(Workers!A2:A200)-C21</f>
        <v>0</v>
      </c>
      <c r="E21" s="3">
        <f t="shared" si="0"/>
        <v>1</v>
      </c>
      <c r="F21" s="4" t="str">
        <f t="shared" si="1"/>
        <v>■■■■■■■■■■■■■■■■■■■■</v>
      </c>
    </row>
    <row r="22" spans="1:6" x14ac:dyDescent="0.25">
      <c r="A22" s="2" t="s">
        <v>71</v>
      </c>
      <c r="B22" s="2" t="s">
        <v>72</v>
      </c>
      <c r="C22" s="2">
        <f>COUNTA(Tracker!P3:P200)</f>
        <v>5</v>
      </c>
      <c r="D22" s="2">
        <f>COUNTA(Workers!A2:A200)-C22</f>
        <v>9</v>
      </c>
      <c r="E22" s="3">
        <f t="shared" si="0"/>
        <v>0.35714285714285715</v>
      </c>
      <c r="F22" s="4" t="str">
        <f t="shared" si="1"/>
        <v>■■■■■■■</v>
      </c>
    </row>
    <row r="23" spans="1:6" x14ac:dyDescent="0.25">
      <c r="A23" s="2" t="s">
        <v>73</v>
      </c>
      <c r="B23" s="2" t="s">
        <v>72</v>
      </c>
      <c r="C23" s="2">
        <f>COUNTA(Tracker!Q3:Q200)</f>
        <v>6</v>
      </c>
      <c r="D23" s="2">
        <f>COUNTA(Workers!A2:A200)-C23</f>
        <v>8</v>
      </c>
      <c r="E23" s="3">
        <f t="shared" si="0"/>
        <v>0.42857142857142855</v>
      </c>
      <c r="F23" s="4" t="str">
        <f t="shared" si="1"/>
        <v>■■■■■■■■■</v>
      </c>
    </row>
    <row r="24" spans="1:6" x14ac:dyDescent="0.25">
      <c r="A24" s="2" t="s">
        <v>74</v>
      </c>
      <c r="B24" s="2" t="s">
        <v>72</v>
      </c>
      <c r="C24" s="2">
        <f>COUNTA(Tracker!R3:R200)</f>
        <v>6</v>
      </c>
      <c r="D24" s="2">
        <f>COUNTA(Workers!A2:A200)-C24</f>
        <v>8</v>
      </c>
      <c r="E24" s="3">
        <f t="shared" si="0"/>
        <v>0.42857142857142855</v>
      </c>
      <c r="F24" s="4" t="str">
        <f t="shared" si="1"/>
        <v>■■■■■■■■■</v>
      </c>
    </row>
    <row r="25" spans="1:6" x14ac:dyDescent="0.25">
      <c r="A25" s="2" t="s">
        <v>75</v>
      </c>
      <c r="B25" s="2" t="s">
        <v>72</v>
      </c>
      <c r="C25" s="2">
        <f>COUNTA(Tracker!S3:S200)</f>
        <v>6</v>
      </c>
      <c r="D25" s="2">
        <f>COUNTA(Workers!A2:A200)-C25</f>
        <v>8</v>
      </c>
      <c r="E25" s="3">
        <f t="shared" si="0"/>
        <v>0.42857142857142855</v>
      </c>
      <c r="F25" s="4" t="str">
        <f t="shared" si="1"/>
        <v>■■■■■■■■■</v>
      </c>
    </row>
    <row r="26" spans="1:6" x14ac:dyDescent="0.25">
      <c r="A26" s="2" t="s">
        <v>76</v>
      </c>
      <c r="B26" s="2" t="s">
        <v>72</v>
      </c>
      <c r="C26" s="2">
        <f>COUNTA(Tracker!T3:T200)</f>
        <v>2</v>
      </c>
      <c r="D26" s="2">
        <f>COUNTA(Workers!A2:A200)-C26</f>
        <v>12</v>
      </c>
      <c r="E26" s="3">
        <f t="shared" si="0"/>
        <v>0.14285714285714285</v>
      </c>
      <c r="F26" s="4" t="str">
        <f t="shared" si="1"/>
        <v>■■■</v>
      </c>
    </row>
  </sheetData>
  <mergeCells count="10">
    <mergeCell ref="A7:F7"/>
    <mergeCell ref="C4:D5"/>
    <mergeCell ref="A4:B5"/>
    <mergeCell ref="G4:H5"/>
    <mergeCell ref="E4:F5"/>
    <mergeCell ref="A1:F1"/>
    <mergeCell ref="E3:F3"/>
    <mergeCell ref="C3:D3"/>
    <mergeCell ref="A3:B3"/>
    <mergeCell ref="G3:H3"/>
  </mergeCells>
  <conditionalFormatting sqref="E9:E26">
    <cfRule type="cellIs" dxfId="4" priority="1" operator="lessThan">
      <formula>0.7</formula>
    </cfRule>
    <cfRule type="cellIs" dxfId="3" priority="2" operator="between">
      <formula>0.7</formula>
      <formula>0.9</formula>
    </cfRule>
    <cfRule type="cellIs" dxfId="2" priority="3" operator="greaterThanOrEqual">
      <formula>0.9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showGridLines="0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38" customWidth="1"/>
    <col min="2" max="2" width="18.140625" bestFit="1" customWidth="1"/>
    <col min="3" max="3" width="22" customWidth="1"/>
    <col min="4" max="4" width="38" customWidth="1"/>
  </cols>
  <sheetData>
    <row r="1" spans="1:4" ht="30" customHeight="1" x14ac:dyDescent="0.25">
      <c r="A1" s="1" t="s">
        <v>51</v>
      </c>
      <c r="B1" s="1" t="s">
        <v>52</v>
      </c>
      <c r="C1" s="1" t="s">
        <v>77</v>
      </c>
      <c r="D1" s="1" t="s">
        <v>8</v>
      </c>
    </row>
    <row r="2" spans="1:4" x14ac:dyDescent="0.25">
      <c r="A2" t="s">
        <v>57</v>
      </c>
      <c r="B2" t="s">
        <v>58</v>
      </c>
      <c r="C2">
        <v>1</v>
      </c>
    </row>
    <row r="3" spans="1:4" x14ac:dyDescent="0.25">
      <c r="A3" t="s">
        <v>59</v>
      </c>
      <c r="B3" t="s">
        <v>58</v>
      </c>
      <c r="C3">
        <v>1</v>
      </c>
    </row>
    <row r="4" spans="1:4" x14ac:dyDescent="0.25">
      <c r="A4" t="s">
        <v>60</v>
      </c>
      <c r="B4" t="s">
        <v>58</v>
      </c>
      <c r="C4">
        <v>1</v>
      </c>
    </row>
    <row r="5" spans="1:4" x14ac:dyDescent="0.25">
      <c r="A5" t="s">
        <v>61</v>
      </c>
      <c r="B5" t="s">
        <v>58</v>
      </c>
      <c r="C5">
        <v>3</v>
      </c>
    </row>
    <row r="6" spans="1:4" x14ac:dyDescent="0.25">
      <c r="A6" t="s">
        <v>62</v>
      </c>
      <c r="B6" t="s">
        <v>58</v>
      </c>
      <c r="C6">
        <v>1</v>
      </c>
    </row>
    <row r="7" spans="1:4" x14ac:dyDescent="0.25">
      <c r="A7" t="s">
        <v>63</v>
      </c>
      <c r="B7" t="s">
        <v>58</v>
      </c>
      <c r="C7">
        <v>3</v>
      </c>
    </row>
    <row r="8" spans="1:4" x14ac:dyDescent="0.25">
      <c r="A8" t="s">
        <v>64</v>
      </c>
      <c r="B8" t="s">
        <v>58</v>
      </c>
      <c r="C8">
        <v>1</v>
      </c>
    </row>
    <row r="9" spans="1:4" x14ac:dyDescent="0.25">
      <c r="A9" t="s">
        <v>65</v>
      </c>
      <c r="B9" t="s">
        <v>58</v>
      </c>
      <c r="C9">
        <v>1</v>
      </c>
    </row>
    <row r="10" spans="1:4" x14ac:dyDescent="0.25">
      <c r="A10" t="s">
        <v>66</v>
      </c>
      <c r="B10" t="s">
        <v>58</v>
      </c>
      <c r="C10">
        <v>3</v>
      </c>
    </row>
    <row r="11" spans="1:4" x14ac:dyDescent="0.25">
      <c r="A11" t="s">
        <v>67</v>
      </c>
      <c r="B11" t="s">
        <v>58</v>
      </c>
      <c r="C11">
        <v>3</v>
      </c>
    </row>
    <row r="12" spans="1:4" x14ac:dyDescent="0.25">
      <c r="A12" t="s">
        <v>68</v>
      </c>
      <c r="B12" t="s">
        <v>58</v>
      </c>
      <c r="C12">
        <v>3</v>
      </c>
    </row>
    <row r="13" spans="1:4" x14ac:dyDescent="0.25">
      <c r="A13" t="s">
        <v>69</v>
      </c>
      <c r="B13" t="s">
        <v>58</v>
      </c>
      <c r="C13">
        <v>1</v>
      </c>
    </row>
    <row r="14" spans="1:4" x14ac:dyDescent="0.25">
      <c r="A14" t="s">
        <v>70</v>
      </c>
      <c r="B14" t="s">
        <v>58</v>
      </c>
      <c r="C14">
        <v>1</v>
      </c>
    </row>
    <row r="15" spans="1:4" x14ac:dyDescent="0.25">
      <c r="A15" t="s">
        <v>71</v>
      </c>
      <c r="B15" t="s">
        <v>72</v>
      </c>
      <c r="C15">
        <v>1</v>
      </c>
    </row>
    <row r="16" spans="1:4" x14ac:dyDescent="0.25">
      <c r="A16" t="s">
        <v>73</v>
      </c>
      <c r="B16" t="s">
        <v>72</v>
      </c>
      <c r="C16">
        <v>0</v>
      </c>
    </row>
    <row r="17" spans="1:3" x14ac:dyDescent="0.25">
      <c r="A17" t="s">
        <v>74</v>
      </c>
      <c r="B17" t="s">
        <v>72</v>
      </c>
      <c r="C17">
        <v>1</v>
      </c>
    </row>
    <row r="18" spans="1:3" x14ac:dyDescent="0.25">
      <c r="A18" t="s">
        <v>75</v>
      </c>
      <c r="B18" t="s">
        <v>72</v>
      </c>
      <c r="C18">
        <v>3</v>
      </c>
    </row>
    <row r="19" spans="1:3" x14ac:dyDescent="0.25">
      <c r="A19" t="s">
        <v>76</v>
      </c>
      <c r="B19" t="s">
        <v>72</v>
      </c>
      <c r="C19">
        <v>1</v>
      </c>
    </row>
    <row r="20" spans="1:3" x14ac:dyDescent="0.25">
      <c r="A20" t="s">
        <v>78</v>
      </c>
      <c r="B20" t="s">
        <v>72</v>
      </c>
      <c r="C20">
        <v>0</v>
      </c>
    </row>
    <row r="21" spans="1:3" x14ac:dyDescent="0.25">
      <c r="A21" t="s">
        <v>79</v>
      </c>
      <c r="B21" t="s">
        <v>72</v>
      </c>
      <c r="C21">
        <v>0</v>
      </c>
    </row>
    <row r="22" spans="1:3" x14ac:dyDescent="0.25">
      <c r="A22" t="s">
        <v>80</v>
      </c>
      <c r="B22" t="s">
        <v>72</v>
      </c>
      <c r="C22">
        <v>0</v>
      </c>
    </row>
    <row r="23" spans="1:3" x14ac:dyDescent="0.25">
      <c r="A23" t="s">
        <v>81</v>
      </c>
      <c r="B23" t="s">
        <v>72</v>
      </c>
      <c r="C23">
        <v>0</v>
      </c>
    </row>
    <row r="24" spans="1:3" x14ac:dyDescent="0.25">
      <c r="A24" t="s">
        <v>82</v>
      </c>
      <c r="B24" t="s">
        <v>72</v>
      </c>
      <c r="C24">
        <v>0</v>
      </c>
    </row>
    <row r="25" spans="1:3" x14ac:dyDescent="0.25">
      <c r="A25" t="s">
        <v>83</v>
      </c>
      <c r="B25" t="s">
        <v>72</v>
      </c>
      <c r="C25">
        <v>0</v>
      </c>
    </row>
  </sheetData>
  <dataValidations count="1">
    <dataValidation type="list" allowBlank="1" sqref="B2:B60" xr:uid="{00000000-0002-0000-0200-000000000000}">
      <formula1>"HSE Required,Additional Training"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"/>
  <sheetViews>
    <sheetView showGridLines="0"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32" customWidth="1"/>
    <col min="2" max="2" width="33" customWidth="1"/>
    <col min="3" max="3" width="28" customWidth="1"/>
    <col min="4" max="4" width="20.140625" bestFit="1" customWidth="1"/>
    <col min="5" max="5" width="40" customWidth="1"/>
  </cols>
  <sheetData>
    <row r="1" spans="1:5" x14ac:dyDescent="0.25">
      <c r="A1" s="1" t="s">
        <v>84</v>
      </c>
      <c r="B1" s="1" t="s">
        <v>85</v>
      </c>
      <c r="C1" s="1" t="s">
        <v>86</v>
      </c>
      <c r="D1" s="1" t="s">
        <v>87</v>
      </c>
      <c r="E1" s="1" t="s">
        <v>8</v>
      </c>
    </row>
    <row r="2" spans="1:5" x14ac:dyDescent="0.25">
      <c r="A2" t="s">
        <v>10</v>
      </c>
      <c r="B2" t="s">
        <v>88</v>
      </c>
      <c r="C2" t="s">
        <v>89</v>
      </c>
      <c r="D2">
        <f>IF(A2="","",COUNTIF(Workers!B:B,A2))</f>
        <v>6</v>
      </c>
    </row>
    <row r="3" spans="1:5" x14ac:dyDescent="0.25">
      <c r="A3" t="s">
        <v>20</v>
      </c>
      <c r="B3" t="s">
        <v>27</v>
      </c>
      <c r="C3" t="s">
        <v>90</v>
      </c>
      <c r="D3">
        <f>IF(A3="","",COUNTIF(Workers!B:B,A3))</f>
        <v>8</v>
      </c>
    </row>
    <row r="4" spans="1:5" x14ac:dyDescent="0.25">
      <c r="D4" t="str">
        <f>IF(A4="","",COUNTIF(Workers!B:B,A4))</f>
        <v/>
      </c>
    </row>
    <row r="5" spans="1:5" x14ac:dyDescent="0.25">
      <c r="D5" t="str">
        <f>IF(A5="","",COUNTIF(Workers!B:B,A5))</f>
        <v/>
      </c>
    </row>
    <row r="6" spans="1:5" x14ac:dyDescent="0.25">
      <c r="D6" t="str">
        <f>IF(A6="","",COUNTIF(Workers!B:B,A6))</f>
        <v/>
      </c>
    </row>
    <row r="7" spans="1:5" x14ac:dyDescent="0.25">
      <c r="D7" t="str">
        <f>IF(A7="","",COUNTIF(Workers!B:B,A7))</f>
        <v/>
      </c>
    </row>
    <row r="8" spans="1:5" x14ac:dyDescent="0.25">
      <c r="D8" t="str">
        <f>IF(A8="","",COUNTIF(Workers!B:B,A8))</f>
        <v/>
      </c>
    </row>
    <row r="9" spans="1:5" x14ac:dyDescent="0.25">
      <c r="D9" t="str">
        <f>IF(A9="","",COUNTIF(Workers!B:B,A9))</f>
        <v/>
      </c>
    </row>
    <row r="10" spans="1:5" x14ac:dyDescent="0.25">
      <c r="D10" t="str">
        <f>IF(A10="","",COUNTIF(Workers!B:B,A10))</f>
        <v/>
      </c>
    </row>
    <row r="11" spans="1:5" x14ac:dyDescent="0.25">
      <c r="D11" t="str">
        <f>IF(A11="","",COUNTIF(Workers!B:B,A11))</f>
        <v/>
      </c>
    </row>
    <row r="12" spans="1:5" x14ac:dyDescent="0.25">
      <c r="D12" t="str">
        <f>IF(A12="","",COUNTIF(Workers!B:B,A12))</f>
        <v/>
      </c>
    </row>
    <row r="13" spans="1:5" x14ac:dyDescent="0.25">
      <c r="D13" t="str">
        <f>IF(A13="","",COUNTIF(Workers!B:B,A13))</f>
        <v/>
      </c>
    </row>
    <row r="14" spans="1:5" x14ac:dyDescent="0.25">
      <c r="D14" t="str">
        <f>IF(A14="","",COUNTIF(Workers!B:B,A14))</f>
        <v/>
      </c>
    </row>
    <row r="15" spans="1:5" x14ac:dyDescent="0.25">
      <c r="D15" t="str">
        <f>IF(A15="","",COUNTIF(Workers!B:B,A15))</f>
        <v/>
      </c>
    </row>
    <row r="16" spans="1:5" x14ac:dyDescent="0.25">
      <c r="D16" t="str">
        <f>IF(A16="","",COUNTIF(Workers!B:B,A16))</f>
        <v/>
      </c>
    </row>
    <row r="17" spans="4:4" x14ac:dyDescent="0.25">
      <c r="D17" t="str">
        <f>IF(A17="","",COUNTIF(Workers!B:B,A17))</f>
        <v/>
      </c>
    </row>
    <row r="18" spans="4:4" x14ac:dyDescent="0.25">
      <c r="D18" t="str">
        <f>IF(A18="","",COUNTIF(Workers!B:B,A18))</f>
        <v/>
      </c>
    </row>
    <row r="19" spans="4:4" x14ac:dyDescent="0.25">
      <c r="D19" t="str">
        <f>IF(A19="","",COUNTIF(Workers!B:B,A19))</f>
        <v/>
      </c>
    </row>
    <row r="20" spans="4:4" x14ac:dyDescent="0.25">
      <c r="D20" t="str">
        <f>IF(A20="","",COUNTIF(Workers!B:B,A20))</f>
        <v/>
      </c>
    </row>
    <row r="21" spans="4:4" x14ac:dyDescent="0.25">
      <c r="D21" t="str">
        <f>IF(A21="","",COUNTIF(Workers!B:B,A21))</f>
        <v/>
      </c>
    </row>
    <row r="22" spans="4:4" x14ac:dyDescent="0.25">
      <c r="D22" t="str">
        <f>IF(A22="","",COUNTIF(Workers!B:B,A22))</f>
        <v/>
      </c>
    </row>
    <row r="23" spans="4:4" x14ac:dyDescent="0.25">
      <c r="D23" t="str">
        <f>IF(A23="","",COUNTIF(Workers!B:B,A23))</f>
        <v/>
      </c>
    </row>
    <row r="24" spans="4:4" x14ac:dyDescent="0.25">
      <c r="D24" t="str">
        <f>IF(A24="","",COUNTIF(Workers!B:B,A24))</f>
        <v/>
      </c>
    </row>
    <row r="25" spans="4:4" x14ac:dyDescent="0.25">
      <c r="D25" t="str">
        <f>IF(A25="","",COUNTIF(Workers!B:B,A25))</f>
        <v/>
      </c>
    </row>
    <row r="26" spans="4:4" x14ac:dyDescent="0.25">
      <c r="D26" t="str">
        <f>IF(A26="","",COUNTIF(Workers!B:B,A26))</f>
        <v/>
      </c>
    </row>
    <row r="27" spans="4:4" x14ac:dyDescent="0.25">
      <c r="D27" t="str">
        <f>IF(A27="","",COUNTIF(Workers!B:B,A27))</f>
        <v/>
      </c>
    </row>
    <row r="28" spans="4:4" x14ac:dyDescent="0.25">
      <c r="D28" t="str">
        <f>IF(A28="","",COUNTIF(Workers!B:B,A28))</f>
        <v/>
      </c>
    </row>
    <row r="29" spans="4:4" x14ac:dyDescent="0.25">
      <c r="D29" t="str">
        <f>IF(A29="","",COUNTIF(Workers!B:B,A29))</f>
        <v/>
      </c>
    </row>
    <row r="30" spans="4:4" x14ac:dyDescent="0.25">
      <c r="D30" t="str">
        <f>IF(A30="","",COUNTIF(Workers!B:B,A30))</f>
        <v/>
      </c>
    </row>
    <row r="31" spans="4:4" x14ac:dyDescent="0.25">
      <c r="D31" t="str">
        <f>IF(A31="","",COUNTIF(Workers!B:B,A31))</f>
        <v/>
      </c>
    </row>
    <row r="32" spans="4:4" x14ac:dyDescent="0.25">
      <c r="D32" t="str">
        <f>IF(A32="","",COUNTIF(Workers!B:B,A32))</f>
        <v/>
      </c>
    </row>
    <row r="33" spans="4:4" x14ac:dyDescent="0.25">
      <c r="D33" t="str">
        <f>IF(A33="","",COUNTIF(Workers!B:B,A33))</f>
        <v/>
      </c>
    </row>
    <row r="34" spans="4:4" x14ac:dyDescent="0.25">
      <c r="D34" t="str">
        <f>IF(A34="","",COUNTIF(Workers!B:B,A34))</f>
        <v/>
      </c>
    </row>
    <row r="35" spans="4:4" x14ac:dyDescent="0.25">
      <c r="D35" t="str">
        <f>IF(A35="","",COUNTIF(Workers!B:B,A35))</f>
        <v/>
      </c>
    </row>
    <row r="36" spans="4:4" x14ac:dyDescent="0.25">
      <c r="D36" t="str">
        <f>IF(A36="","",COUNTIF(Workers!B:B,A36))</f>
        <v/>
      </c>
    </row>
    <row r="37" spans="4:4" x14ac:dyDescent="0.25">
      <c r="D37" t="str">
        <f>IF(A37="","",COUNTIF(Workers!B:B,A37))</f>
        <v/>
      </c>
    </row>
    <row r="38" spans="4:4" x14ac:dyDescent="0.25">
      <c r="D38" t="str">
        <f>IF(A38="","",COUNTIF(Workers!B:B,A38))</f>
        <v/>
      </c>
    </row>
    <row r="39" spans="4:4" x14ac:dyDescent="0.25">
      <c r="D39" t="str">
        <f>IF(A39="","",COUNTIF(Workers!B:B,A39))</f>
        <v/>
      </c>
    </row>
    <row r="40" spans="4:4" x14ac:dyDescent="0.25">
      <c r="D40" t="str">
        <f>IF(A40="","",COUNTIF(Workers!B:B,A40))</f>
        <v/>
      </c>
    </row>
    <row r="41" spans="4:4" x14ac:dyDescent="0.25">
      <c r="D41" t="str">
        <f>IF(A41="","",COUNTIF(Workers!B:B,A41))</f>
        <v/>
      </c>
    </row>
    <row r="42" spans="4:4" x14ac:dyDescent="0.25">
      <c r="D42" t="str">
        <f>IF(A42="","",COUNTIF(Workers!B:B,A42))</f>
        <v/>
      </c>
    </row>
    <row r="43" spans="4:4" x14ac:dyDescent="0.25">
      <c r="D43" t="str">
        <f>IF(A43="","",COUNTIF(Workers!B:B,A43))</f>
        <v/>
      </c>
    </row>
    <row r="44" spans="4:4" x14ac:dyDescent="0.25">
      <c r="D44" t="str">
        <f>IF(A44="","",COUNTIF(Workers!B:B,A44))</f>
        <v/>
      </c>
    </row>
    <row r="45" spans="4:4" x14ac:dyDescent="0.25">
      <c r="D45" t="str">
        <f>IF(A45="","",COUNTIF(Workers!B:B,A45))</f>
        <v/>
      </c>
    </row>
    <row r="46" spans="4:4" x14ac:dyDescent="0.25">
      <c r="D46" t="str">
        <f>IF(A46="","",COUNTIF(Workers!B:B,A46))</f>
        <v/>
      </c>
    </row>
    <row r="47" spans="4:4" x14ac:dyDescent="0.25">
      <c r="D47" t="str">
        <f>IF(A47="","",COUNTIF(Workers!B:B,A47))</f>
        <v/>
      </c>
    </row>
    <row r="48" spans="4:4" x14ac:dyDescent="0.25">
      <c r="D48" t="str">
        <f>IF(A48="","",COUNTIF(Workers!B:B,A48))</f>
        <v/>
      </c>
    </row>
    <row r="49" spans="4:4" x14ac:dyDescent="0.25">
      <c r="D49" t="str">
        <f>IF(A49="","",COUNTIF(Workers!B:B,A49))</f>
        <v/>
      </c>
    </row>
    <row r="50" spans="4:4" x14ac:dyDescent="0.25">
      <c r="D50" t="str">
        <f>IF(A50="","",COUNTIF(Workers!B:B,A50))</f>
        <v/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0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B16" sqref="B16"/>
    </sheetView>
  </sheetViews>
  <sheetFormatPr defaultRowHeight="15" x14ac:dyDescent="0.25"/>
  <cols>
    <col min="1" max="1" width="28" customWidth="1"/>
    <col min="2" max="2" width="32.5703125" bestFit="1" customWidth="1"/>
    <col min="3" max="3" width="22" customWidth="1"/>
    <col min="4" max="4" width="14" customWidth="1"/>
    <col min="5" max="5" width="16" customWidth="1"/>
    <col min="6" max="6" width="14" customWidth="1"/>
    <col min="7" max="7" width="28" customWidth="1"/>
    <col min="8" max="8" width="16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F2" s="7"/>
    </row>
    <row r="3" spans="1:9" x14ac:dyDescent="0.25">
      <c r="A3" t="s">
        <v>13</v>
      </c>
      <c r="B3" t="s">
        <v>10</v>
      </c>
      <c r="C3" t="s">
        <v>11</v>
      </c>
      <c r="D3" t="s">
        <v>12</v>
      </c>
      <c r="F3" s="7"/>
    </row>
    <row r="4" spans="1:9" x14ac:dyDescent="0.25">
      <c r="A4" t="s">
        <v>15</v>
      </c>
      <c r="B4" t="s">
        <v>10</v>
      </c>
      <c r="C4" t="s">
        <v>11</v>
      </c>
      <c r="D4" t="s">
        <v>12</v>
      </c>
      <c r="F4" s="7"/>
    </row>
    <row r="5" spans="1:9" x14ac:dyDescent="0.25">
      <c r="A5" t="s">
        <v>16</v>
      </c>
      <c r="B5" t="s">
        <v>10</v>
      </c>
      <c r="C5" t="s">
        <v>11</v>
      </c>
      <c r="D5" t="s">
        <v>12</v>
      </c>
      <c r="F5" s="7"/>
    </row>
    <row r="6" spans="1:9" x14ac:dyDescent="0.25">
      <c r="A6" t="s">
        <v>17</v>
      </c>
      <c r="B6" t="s">
        <v>10</v>
      </c>
      <c r="C6" t="s">
        <v>11</v>
      </c>
      <c r="D6" t="s">
        <v>12</v>
      </c>
      <c r="F6" s="7"/>
    </row>
    <row r="7" spans="1:9" x14ac:dyDescent="0.25">
      <c r="A7" t="s">
        <v>18</v>
      </c>
      <c r="B7" t="s">
        <v>10</v>
      </c>
      <c r="C7" t="s">
        <v>11</v>
      </c>
      <c r="D7" t="s">
        <v>12</v>
      </c>
      <c r="F7" s="7"/>
    </row>
    <row r="8" spans="1:9" x14ac:dyDescent="0.25">
      <c r="A8" t="s">
        <v>19</v>
      </c>
      <c r="B8" t="s">
        <v>20</v>
      </c>
      <c r="C8" t="s">
        <v>14</v>
      </c>
      <c r="D8" t="s">
        <v>12</v>
      </c>
      <c r="F8" s="7"/>
    </row>
    <row r="9" spans="1:9" x14ac:dyDescent="0.25">
      <c r="A9" t="s">
        <v>21</v>
      </c>
      <c r="B9" t="s">
        <v>20</v>
      </c>
      <c r="C9" t="s">
        <v>14</v>
      </c>
      <c r="D9" t="s">
        <v>12</v>
      </c>
      <c r="F9" s="7"/>
    </row>
    <row r="10" spans="1:9" x14ac:dyDescent="0.25">
      <c r="A10" t="s">
        <v>22</v>
      </c>
      <c r="B10" t="s">
        <v>20</v>
      </c>
      <c r="C10" t="s">
        <v>14</v>
      </c>
      <c r="D10" t="s">
        <v>12</v>
      </c>
      <c r="F10" s="7"/>
    </row>
    <row r="11" spans="1:9" x14ac:dyDescent="0.25">
      <c r="A11" t="s">
        <v>23</v>
      </c>
      <c r="B11" t="s">
        <v>20</v>
      </c>
      <c r="C11" t="s">
        <v>14</v>
      </c>
      <c r="D11" t="s">
        <v>12</v>
      </c>
      <c r="F11" s="7"/>
    </row>
    <row r="12" spans="1:9" x14ac:dyDescent="0.25">
      <c r="A12" t="s">
        <v>24</v>
      </c>
      <c r="B12" t="s">
        <v>20</v>
      </c>
      <c r="C12" t="s">
        <v>14</v>
      </c>
      <c r="D12" t="s">
        <v>12</v>
      </c>
      <c r="F12" s="7"/>
    </row>
    <row r="13" spans="1:9" x14ac:dyDescent="0.25">
      <c r="A13" t="s">
        <v>25</v>
      </c>
      <c r="B13" t="s">
        <v>20</v>
      </c>
      <c r="C13" t="s">
        <v>14</v>
      </c>
      <c r="D13" t="s">
        <v>12</v>
      </c>
      <c r="F13" s="7"/>
    </row>
    <row r="14" spans="1:9" x14ac:dyDescent="0.25">
      <c r="A14" t="s">
        <v>26</v>
      </c>
      <c r="B14" t="s">
        <v>20</v>
      </c>
      <c r="C14" t="s">
        <v>14</v>
      </c>
      <c r="D14" t="s">
        <v>12</v>
      </c>
      <c r="F14" s="7"/>
    </row>
    <row r="15" spans="1:9" x14ac:dyDescent="0.25">
      <c r="A15" t="s">
        <v>27</v>
      </c>
      <c r="B15" t="s">
        <v>20</v>
      </c>
      <c r="C15" t="s">
        <v>14</v>
      </c>
      <c r="D15" t="s">
        <v>12</v>
      </c>
      <c r="F15" s="7"/>
    </row>
    <row r="16" spans="1:9" x14ac:dyDescent="0.25">
      <c r="F16" s="7"/>
    </row>
    <row r="17" spans="6:6" x14ac:dyDescent="0.25">
      <c r="F17" s="7"/>
    </row>
    <row r="18" spans="6:6" x14ac:dyDescent="0.25">
      <c r="F18" s="7"/>
    </row>
    <row r="19" spans="6:6" x14ac:dyDescent="0.25">
      <c r="F19" s="7"/>
    </row>
    <row r="20" spans="6:6" x14ac:dyDescent="0.25">
      <c r="F20" s="7"/>
    </row>
    <row r="21" spans="6:6" x14ac:dyDescent="0.25">
      <c r="F21" s="7"/>
    </row>
    <row r="22" spans="6:6" x14ac:dyDescent="0.25">
      <c r="F22" s="7"/>
    </row>
    <row r="23" spans="6:6" x14ac:dyDescent="0.25">
      <c r="F23" s="7"/>
    </row>
    <row r="24" spans="6:6" x14ac:dyDescent="0.25">
      <c r="F24" s="7"/>
    </row>
    <row r="25" spans="6:6" x14ac:dyDescent="0.25">
      <c r="F25" s="7"/>
    </row>
    <row r="26" spans="6:6" x14ac:dyDescent="0.25">
      <c r="F26" s="7"/>
    </row>
    <row r="27" spans="6:6" x14ac:dyDescent="0.25">
      <c r="F27" s="7"/>
    </row>
    <row r="28" spans="6:6" x14ac:dyDescent="0.25">
      <c r="F28" s="7"/>
    </row>
    <row r="29" spans="6:6" x14ac:dyDescent="0.25">
      <c r="F29" s="7"/>
    </row>
    <row r="30" spans="6:6" x14ac:dyDescent="0.25">
      <c r="F30" s="7"/>
    </row>
    <row r="31" spans="6:6" x14ac:dyDescent="0.25">
      <c r="F31" s="7"/>
    </row>
    <row r="32" spans="6:6" x14ac:dyDescent="0.25">
      <c r="F32" s="7"/>
    </row>
    <row r="33" spans="6:6" x14ac:dyDescent="0.25">
      <c r="F33" s="7"/>
    </row>
    <row r="34" spans="6:6" x14ac:dyDescent="0.25">
      <c r="F34" s="7"/>
    </row>
    <row r="35" spans="6:6" x14ac:dyDescent="0.25">
      <c r="F35" s="7"/>
    </row>
    <row r="36" spans="6:6" x14ac:dyDescent="0.25">
      <c r="F36" s="7"/>
    </row>
    <row r="37" spans="6:6" x14ac:dyDescent="0.25">
      <c r="F37" s="7"/>
    </row>
    <row r="38" spans="6:6" x14ac:dyDescent="0.25">
      <c r="F38" s="7"/>
    </row>
    <row r="39" spans="6:6" x14ac:dyDescent="0.25">
      <c r="F39" s="7"/>
    </row>
    <row r="40" spans="6:6" x14ac:dyDescent="0.25">
      <c r="F40" s="7"/>
    </row>
    <row r="41" spans="6:6" x14ac:dyDescent="0.25">
      <c r="F41" s="7"/>
    </row>
    <row r="42" spans="6:6" x14ac:dyDescent="0.25">
      <c r="F42" s="7"/>
    </row>
    <row r="43" spans="6:6" x14ac:dyDescent="0.25">
      <c r="F43" s="7"/>
    </row>
    <row r="44" spans="6:6" x14ac:dyDescent="0.25">
      <c r="F44" s="7"/>
    </row>
    <row r="45" spans="6:6" x14ac:dyDescent="0.25">
      <c r="F45" s="7"/>
    </row>
    <row r="46" spans="6:6" x14ac:dyDescent="0.25">
      <c r="F46" s="7"/>
    </row>
    <row r="47" spans="6:6" x14ac:dyDescent="0.25">
      <c r="F47" s="7"/>
    </row>
    <row r="48" spans="6:6" x14ac:dyDescent="0.25">
      <c r="F48" s="7"/>
    </row>
    <row r="49" spans="6:6" x14ac:dyDescent="0.25">
      <c r="F49" s="7"/>
    </row>
    <row r="50" spans="6:6" x14ac:dyDescent="0.25">
      <c r="F50" s="7"/>
    </row>
    <row r="51" spans="6:6" x14ac:dyDescent="0.25">
      <c r="F51" s="7"/>
    </row>
    <row r="52" spans="6:6" x14ac:dyDescent="0.25">
      <c r="F52" s="7"/>
    </row>
    <row r="53" spans="6:6" x14ac:dyDescent="0.25">
      <c r="F53" s="7"/>
    </row>
    <row r="54" spans="6:6" x14ac:dyDescent="0.25">
      <c r="F54" s="7"/>
    </row>
    <row r="55" spans="6:6" x14ac:dyDescent="0.25">
      <c r="F55" s="7"/>
    </row>
    <row r="56" spans="6:6" x14ac:dyDescent="0.25">
      <c r="F56" s="7"/>
    </row>
    <row r="57" spans="6:6" x14ac:dyDescent="0.25">
      <c r="F57" s="7"/>
    </row>
    <row r="58" spans="6:6" x14ac:dyDescent="0.25">
      <c r="F58" s="7"/>
    </row>
    <row r="59" spans="6:6" x14ac:dyDescent="0.25">
      <c r="F59" s="7"/>
    </row>
    <row r="60" spans="6:6" x14ac:dyDescent="0.25">
      <c r="F60" s="7"/>
    </row>
    <row r="61" spans="6:6" x14ac:dyDescent="0.25">
      <c r="F61" s="7"/>
    </row>
    <row r="62" spans="6:6" x14ac:dyDescent="0.25">
      <c r="F62" s="7"/>
    </row>
    <row r="63" spans="6:6" x14ac:dyDescent="0.25">
      <c r="F63" s="7"/>
    </row>
    <row r="64" spans="6:6" x14ac:dyDescent="0.25">
      <c r="F64" s="7"/>
    </row>
    <row r="65" spans="6:6" x14ac:dyDescent="0.25">
      <c r="F65" s="7"/>
    </row>
    <row r="66" spans="6:6" x14ac:dyDescent="0.25">
      <c r="F66" s="7"/>
    </row>
    <row r="67" spans="6:6" x14ac:dyDescent="0.25">
      <c r="F67" s="7"/>
    </row>
    <row r="68" spans="6:6" x14ac:dyDescent="0.25">
      <c r="F68" s="7"/>
    </row>
    <row r="69" spans="6:6" x14ac:dyDescent="0.25">
      <c r="F69" s="7"/>
    </row>
    <row r="70" spans="6:6" x14ac:dyDescent="0.25">
      <c r="F70" s="7"/>
    </row>
    <row r="71" spans="6:6" x14ac:dyDescent="0.25">
      <c r="F71" s="7"/>
    </row>
    <row r="72" spans="6:6" x14ac:dyDescent="0.25">
      <c r="F72" s="7"/>
    </row>
    <row r="73" spans="6:6" x14ac:dyDescent="0.25">
      <c r="F73" s="7"/>
    </row>
    <row r="74" spans="6:6" x14ac:dyDescent="0.25">
      <c r="F74" s="7"/>
    </row>
    <row r="75" spans="6:6" x14ac:dyDescent="0.25">
      <c r="F75" s="7"/>
    </row>
    <row r="76" spans="6:6" x14ac:dyDescent="0.25">
      <c r="F76" s="7"/>
    </row>
    <row r="77" spans="6:6" x14ac:dyDescent="0.25">
      <c r="F77" s="7"/>
    </row>
    <row r="78" spans="6:6" x14ac:dyDescent="0.25">
      <c r="F78" s="7"/>
    </row>
    <row r="79" spans="6:6" x14ac:dyDescent="0.25">
      <c r="F79" s="7"/>
    </row>
    <row r="80" spans="6:6" x14ac:dyDescent="0.25">
      <c r="F80" s="7"/>
    </row>
    <row r="81" spans="6:6" x14ac:dyDescent="0.25">
      <c r="F81" s="7"/>
    </row>
    <row r="82" spans="6:6" x14ac:dyDescent="0.25">
      <c r="F82" s="7"/>
    </row>
    <row r="83" spans="6:6" x14ac:dyDescent="0.25">
      <c r="F83" s="7"/>
    </row>
    <row r="84" spans="6:6" x14ac:dyDescent="0.25">
      <c r="F84" s="7"/>
    </row>
    <row r="85" spans="6:6" x14ac:dyDescent="0.25">
      <c r="F85" s="7"/>
    </row>
    <row r="86" spans="6:6" x14ac:dyDescent="0.25">
      <c r="F86" s="7"/>
    </row>
    <row r="87" spans="6:6" x14ac:dyDescent="0.25">
      <c r="F87" s="7"/>
    </row>
    <row r="88" spans="6:6" x14ac:dyDescent="0.25">
      <c r="F88" s="7"/>
    </row>
    <row r="89" spans="6:6" x14ac:dyDescent="0.25">
      <c r="F89" s="7"/>
    </row>
    <row r="90" spans="6:6" x14ac:dyDescent="0.25">
      <c r="F90" s="7"/>
    </row>
    <row r="91" spans="6:6" x14ac:dyDescent="0.25">
      <c r="F91" s="7"/>
    </row>
    <row r="92" spans="6:6" x14ac:dyDescent="0.25">
      <c r="F92" s="7"/>
    </row>
    <row r="93" spans="6:6" x14ac:dyDescent="0.25">
      <c r="F93" s="7"/>
    </row>
    <row r="94" spans="6:6" x14ac:dyDescent="0.25">
      <c r="F94" s="7"/>
    </row>
    <row r="95" spans="6:6" x14ac:dyDescent="0.25">
      <c r="F95" s="7"/>
    </row>
    <row r="96" spans="6:6" x14ac:dyDescent="0.25">
      <c r="F96" s="7"/>
    </row>
    <row r="97" spans="6:6" x14ac:dyDescent="0.25">
      <c r="F97" s="7"/>
    </row>
    <row r="98" spans="6:6" x14ac:dyDescent="0.25">
      <c r="F98" s="7"/>
    </row>
    <row r="99" spans="6:6" x14ac:dyDescent="0.25">
      <c r="F99" s="7"/>
    </row>
    <row r="100" spans="6:6" x14ac:dyDescent="0.25">
      <c r="F100" s="7"/>
    </row>
    <row r="101" spans="6:6" x14ac:dyDescent="0.25">
      <c r="F101" s="7"/>
    </row>
    <row r="102" spans="6:6" x14ac:dyDescent="0.25">
      <c r="F102" s="7"/>
    </row>
    <row r="103" spans="6:6" x14ac:dyDescent="0.25">
      <c r="F103" s="7"/>
    </row>
    <row r="104" spans="6:6" x14ac:dyDescent="0.25">
      <c r="F104" s="7"/>
    </row>
    <row r="105" spans="6:6" x14ac:dyDescent="0.25">
      <c r="F105" s="7"/>
    </row>
    <row r="106" spans="6:6" x14ac:dyDescent="0.25">
      <c r="F106" s="7"/>
    </row>
    <row r="107" spans="6:6" x14ac:dyDescent="0.25">
      <c r="F107" s="7"/>
    </row>
    <row r="108" spans="6:6" x14ac:dyDescent="0.25">
      <c r="F108" s="7"/>
    </row>
    <row r="109" spans="6:6" x14ac:dyDescent="0.25">
      <c r="F109" s="7"/>
    </row>
    <row r="110" spans="6:6" x14ac:dyDescent="0.25">
      <c r="F110" s="7"/>
    </row>
    <row r="111" spans="6:6" x14ac:dyDescent="0.25">
      <c r="F111" s="7"/>
    </row>
    <row r="112" spans="6:6" x14ac:dyDescent="0.25">
      <c r="F112" s="7"/>
    </row>
    <row r="113" spans="6:6" x14ac:dyDescent="0.25">
      <c r="F113" s="7"/>
    </row>
    <row r="114" spans="6:6" x14ac:dyDescent="0.25">
      <c r="F114" s="7"/>
    </row>
    <row r="115" spans="6:6" x14ac:dyDescent="0.25">
      <c r="F115" s="7"/>
    </row>
    <row r="116" spans="6:6" x14ac:dyDescent="0.25">
      <c r="F116" s="7"/>
    </row>
    <row r="117" spans="6:6" x14ac:dyDescent="0.25">
      <c r="F117" s="7"/>
    </row>
    <row r="118" spans="6:6" x14ac:dyDescent="0.25">
      <c r="F118" s="7"/>
    </row>
    <row r="119" spans="6:6" x14ac:dyDescent="0.25">
      <c r="F119" s="7"/>
    </row>
    <row r="120" spans="6:6" x14ac:dyDescent="0.25">
      <c r="F120" s="7"/>
    </row>
    <row r="121" spans="6:6" x14ac:dyDescent="0.25">
      <c r="F121" s="7"/>
    </row>
    <row r="122" spans="6:6" x14ac:dyDescent="0.25">
      <c r="F122" s="7"/>
    </row>
    <row r="123" spans="6:6" x14ac:dyDescent="0.25">
      <c r="F123" s="7"/>
    </row>
    <row r="124" spans="6:6" x14ac:dyDescent="0.25">
      <c r="F124" s="7"/>
    </row>
    <row r="125" spans="6:6" x14ac:dyDescent="0.25">
      <c r="F125" s="7"/>
    </row>
    <row r="126" spans="6:6" x14ac:dyDescent="0.25">
      <c r="F126" s="7"/>
    </row>
    <row r="127" spans="6:6" x14ac:dyDescent="0.25">
      <c r="F127" s="7"/>
    </row>
    <row r="128" spans="6:6" x14ac:dyDescent="0.25">
      <c r="F128" s="7"/>
    </row>
    <row r="129" spans="6:6" x14ac:dyDescent="0.25">
      <c r="F129" s="7"/>
    </row>
    <row r="130" spans="6:6" x14ac:dyDescent="0.25">
      <c r="F130" s="7"/>
    </row>
    <row r="131" spans="6:6" x14ac:dyDescent="0.25">
      <c r="F131" s="7"/>
    </row>
    <row r="132" spans="6:6" x14ac:dyDescent="0.25">
      <c r="F132" s="7"/>
    </row>
    <row r="133" spans="6:6" x14ac:dyDescent="0.25">
      <c r="F133" s="7"/>
    </row>
    <row r="134" spans="6:6" x14ac:dyDescent="0.25">
      <c r="F134" s="7"/>
    </row>
    <row r="135" spans="6:6" x14ac:dyDescent="0.25">
      <c r="F135" s="7"/>
    </row>
    <row r="136" spans="6:6" x14ac:dyDescent="0.25">
      <c r="F136" s="7"/>
    </row>
    <row r="137" spans="6:6" x14ac:dyDescent="0.25">
      <c r="F137" s="7"/>
    </row>
    <row r="138" spans="6:6" x14ac:dyDescent="0.25">
      <c r="F138" s="7"/>
    </row>
    <row r="139" spans="6:6" x14ac:dyDescent="0.25">
      <c r="F139" s="7"/>
    </row>
    <row r="140" spans="6:6" x14ac:dyDescent="0.25">
      <c r="F140" s="7"/>
    </row>
    <row r="141" spans="6:6" x14ac:dyDescent="0.25">
      <c r="F141" s="7"/>
    </row>
    <row r="142" spans="6:6" x14ac:dyDescent="0.25">
      <c r="F142" s="7"/>
    </row>
    <row r="143" spans="6:6" x14ac:dyDescent="0.25">
      <c r="F143" s="7"/>
    </row>
    <row r="144" spans="6:6" x14ac:dyDescent="0.25">
      <c r="F144" s="7"/>
    </row>
    <row r="145" spans="6:6" x14ac:dyDescent="0.25">
      <c r="F145" s="7"/>
    </row>
    <row r="146" spans="6:6" x14ac:dyDescent="0.25">
      <c r="F146" s="7"/>
    </row>
    <row r="147" spans="6:6" x14ac:dyDescent="0.25">
      <c r="F147" s="7"/>
    </row>
    <row r="148" spans="6:6" x14ac:dyDescent="0.25">
      <c r="F148" s="7"/>
    </row>
    <row r="149" spans="6:6" x14ac:dyDescent="0.25">
      <c r="F149" s="7"/>
    </row>
    <row r="150" spans="6:6" x14ac:dyDescent="0.25">
      <c r="F150" s="7"/>
    </row>
    <row r="151" spans="6:6" x14ac:dyDescent="0.25">
      <c r="F151" s="7"/>
    </row>
    <row r="152" spans="6:6" x14ac:dyDescent="0.25">
      <c r="F152" s="7"/>
    </row>
    <row r="153" spans="6:6" x14ac:dyDescent="0.25">
      <c r="F153" s="7"/>
    </row>
    <row r="154" spans="6:6" x14ac:dyDescent="0.25">
      <c r="F154" s="7"/>
    </row>
    <row r="155" spans="6:6" x14ac:dyDescent="0.25">
      <c r="F155" s="7"/>
    </row>
    <row r="156" spans="6:6" x14ac:dyDescent="0.25">
      <c r="F156" s="7"/>
    </row>
    <row r="157" spans="6:6" x14ac:dyDescent="0.25">
      <c r="F157" s="7"/>
    </row>
    <row r="158" spans="6:6" x14ac:dyDescent="0.25">
      <c r="F158" s="7"/>
    </row>
    <row r="159" spans="6:6" x14ac:dyDescent="0.25">
      <c r="F159" s="7"/>
    </row>
    <row r="160" spans="6:6" x14ac:dyDescent="0.25">
      <c r="F160" s="7"/>
    </row>
    <row r="161" spans="6:6" x14ac:dyDescent="0.25">
      <c r="F161" s="7"/>
    </row>
    <row r="162" spans="6:6" x14ac:dyDescent="0.25">
      <c r="F162" s="7"/>
    </row>
    <row r="163" spans="6:6" x14ac:dyDescent="0.25">
      <c r="F163" s="7"/>
    </row>
    <row r="164" spans="6:6" x14ac:dyDescent="0.25">
      <c r="F164" s="7"/>
    </row>
    <row r="165" spans="6:6" x14ac:dyDescent="0.25">
      <c r="F165" s="7"/>
    </row>
    <row r="166" spans="6:6" x14ac:dyDescent="0.25">
      <c r="F166" s="7"/>
    </row>
    <row r="167" spans="6:6" x14ac:dyDescent="0.25">
      <c r="F167" s="7"/>
    </row>
    <row r="168" spans="6:6" x14ac:dyDescent="0.25">
      <c r="F168" s="7"/>
    </row>
    <row r="169" spans="6:6" x14ac:dyDescent="0.25">
      <c r="F169" s="7"/>
    </row>
    <row r="170" spans="6:6" x14ac:dyDescent="0.25">
      <c r="F170" s="7"/>
    </row>
    <row r="171" spans="6:6" x14ac:dyDescent="0.25">
      <c r="F171" s="7"/>
    </row>
    <row r="172" spans="6:6" x14ac:dyDescent="0.25">
      <c r="F172" s="7"/>
    </row>
    <row r="173" spans="6:6" x14ac:dyDescent="0.25">
      <c r="F173" s="7"/>
    </row>
    <row r="174" spans="6:6" x14ac:dyDescent="0.25">
      <c r="F174" s="7"/>
    </row>
    <row r="175" spans="6:6" x14ac:dyDescent="0.25">
      <c r="F175" s="7"/>
    </row>
    <row r="176" spans="6:6" x14ac:dyDescent="0.25">
      <c r="F176" s="7"/>
    </row>
    <row r="177" spans="6:6" x14ac:dyDescent="0.25">
      <c r="F177" s="7"/>
    </row>
    <row r="178" spans="6:6" x14ac:dyDescent="0.25">
      <c r="F178" s="7"/>
    </row>
    <row r="179" spans="6:6" x14ac:dyDescent="0.25">
      <c r="F179" s="7"/>
    </row>
    <row r="180" spans="6:6" x14ac:dyDescent="0.25">
      <c r="F180" s="7"/>
    </row>
    <row r="181" spans="6:6" x14ac:dyDescent="0.25">
      <c r="F181" s="7"/>
    </row>
    <row r="182" spans="6:6" x14ac:dyDescent="0.25">
      <c r="F182" s="7"/>
    </row>
    <row r="183" spans="6:6" x14ac:dyDescent="0.25">
      <c r="F183" s="7"/>
    </row>
    <row r="184" spans="6:6" x14ac:dyDescent="0.25">
      <c r="F184" s="7"/>
    </row>
    <row r="185" spans="6:6" x14ac:dyDescent="0.25">
      <c r="F185" s="7"/>
    </row>
    <row r="186" spans="6:6" x14ac:dyDescent="0.25">
      <c r="F186" s="7"/>
    </row>
    <row r="187" spans="6:6" x14ac:dyDescent="0.25">
      <c r="F187" s="7"/>
    </row>
    <row r="188" spans="6:6" x14ac:dyDescent="0.25">
      <c r="F188" s="7"/>
    </row>
    <row r="189" spans="6:6" x14ac:dyDescent="0.25">
      <c r="F189" s="7"/>
    </row>
    <row r="190" spans="6:6" x14ac:dyDescent="0.25">
      <c r="F190" s="7"/>
    </row>
    <row r="191" spans="6:6" x14ac:dyDescent="0.25">
      <c r="F191" s="7"/>
    </row>
    <row r="192" spans="6:6" x14ac:dyDescent="0.25">
      <c r="F192" s="7"/>
    </row>
    <row r="193" spans="6:6" x14ac:dyDescent="0.25">
      <c r="F193" s="7"/>
    </row>
    <row r="194" spans="6:6" x14ac:dyDescent="0.25">
      <c r="F194" s="7"/>
    </row>
    <row r="195" spans="6:6" x14ac:dyDescent="0.25">
      <c r="F195" s="7"/>
    </row>
    <row r="196" spans="6:6" x14ac:dyDescent="0.25">
      <c r="F196" s="7"/>
    </row>
    <row r="197" spans="6:6" x14ac:dyDescent="0.25">
      <c r="F197" s="7"/>
    </row>
    <row r="198" spans="6:6" x14ac:dyDescent="0.25">
      <c r="F198" s="7"/>
    </row>
    <row r="199" spans="6:6" x14ac:dyDescent="0.25">
      <c r="F199" s="7"/>
    </row>
    <row r="200" spans="6:6" x14ac:dyDescent="0.25">
      <c r="F200" s="7"/>
    </row>
  </sheetData>
  <dataValidations count="3">
    <dataValidation type="list" allowBlank="1" sqref="C2:C200" xr:uid="{00000000-0002-0000-0400-000001000000}">
      <formula1>JobTitleOptions</formula1>
    </dataValidation>
    <dataValidation type="list" allowBlank="1" sqref="D1:D1048576" xr:uid="{E628E4CB-0312-4BE9-B69B-568FDF3593BC}">
      <formula1>"active,inactive,onboarding,terminated"</formula1>
    </dataValidation>
    <dataValidation type="list" allowBlank="1" showInputMessage="1" showErrorMessage="1" sqref="B1:B1048576" xr:uid="{1970F7C8-85BA-47C1-B4B1-69516782C7FD}">
      <formula1>ContractorOption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T19" sqref="T19"/>
    </sheetView>
  </sheetViews>
  <sheetFormatPr defaultRowHeight="15" x14ac:dyDescent="0.25"/>
  <cols>
    <col min="1" max="1" width="32.5703125" bestFit="1" customWidth="1"/>
    <col min="2" max="2" width="25" bestFit="1" customWidth="1"/>
    <col min="3" max="19" width="14" customWidth="1"/>
    <col min="20" max="26" width="13" customWidth="1"/>
  </cols>
  <sheetData>
    <row r="1" spans="1:26" x14ac:dyDescent="0.25">
      <c r="A1" s="8"/>
      <c r="B1" s="8"/>
      <c r="C1" s="16" t="s">
        <v>91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6" t="s">
        <v>72</v>
      </c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60" customHeight="1" x14ac:dyDescent="0.25">
      <c r="A2" s="1" t="s">
        <v>1</v>
      </c>
      <c r="B2" s="1" t="s">
        <v>92</v>
      </c>
      <c r="C2" s="1" t="s">
        <v>57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69</v>
      </c>
      <c r="O2" s="1" t="s">
        <v>70</v>
      </c>
      <c r="P2" s="1" t="s">
        <v>71</v>
      </c>
      <c r="Q2" s="1" t="s">
        <v>73</v>
      </c>
      <c r="R2" s="1" t="s">
        <v>74</v>
      </c>
      <c r="S2" s="1" t="s">
        <v>75</v>
      </c>
      <c r="T2" s="1" t="s">
        <v>76</v>
      </c>
      <c r="U2" s="1" t="s">
        <v>78</v>
      </c>
      <c r="V2" s="1" t="s">
        <v>79</v>
      </c>
      <c r="W2" s="1" t="s">
        <v>80</v>
      </c>
      <c r="X2" s="1" t="s">
        <v>81</v>
      </c>
      <c r="Y2" s="1" t="s">
        <v>82</v>
      </c>
      <c r="Z2" s="1" t="s">
        <v>83</v>
      </c>
    </row>
    <row r="3" spans="1:26" x14ac:dyDescent="0.25">
      <c r="A3" t="s">
        <v>10</v>
      </c>
      <c r="B3" t="s">
        <v>9</v>
      </c>
      <c r="C3" s="9">
        <v>45764</v>
      </c>
      <c r="D3" s="9"/>
      <c r="E3" s="9"/>
      <c r="F3" s="9"/>
      <c r="G3" s="9"/>
      <c r="H3" s="9"/>
      <c r="I3" s="9">
        <v>45764</v>
      </c>
      <c r="J3" s="9">
        <v>45764</v>
      </c>
      <c r="K3" s="9"/>
      <c r="L3" s="9"/>
      <c r="M3" s="9"/>
      <c r="N3" s="9"/>
      <c r="O3" s="9">
        <v>45764</v>
      </c>
      <c r="P3" s="9"/>
      <c r="Q3" s="9">
        <v>38534</v>
      </c>
      <c r="R3" s="9">
        <v>45764</v>
      </c>
      <c r="S3" s="9">
        <v>40333</v>
      </c>
      <c r="T3" s="9"/>
      <c r="U3" s="9"/>
      <c r="V3" s="9"/>
      <c r="W3" s="9"/>
      <c r="X3" s="9"/>
      <c r="Y3" s="9"/>
      <c r="Z3" s="9"/>
    </row>
    <row r="4" spans="1:26" x14ac:dyDescent="0.25">
      <c r="A4" t="s">
        <v>10</v>
      </c>
      <c r="B4" t="s">
        <v>13</v>
      </c>
      <c r="C4" s="9">
        <v>45764</v>
      </c>
      <c r="D4" s="9"/>
      <c r="E4" s="9"/>
      <c r="F4" s="9"/>
      <c r="G4" s="9"/>
      <c r="H4" s="9"/>
      <c r="I4" s="9">
        <v>45764</v>
      </c>
      <c r="J4" s="9">
        <v>45764</v>
      </c>
      <c r="K4" s="9"/>
      <c r="L4" s="9"/>
      <c r="M4" s="9"/>
      <c r="N4" s="9"/>
      <c r="O4" s="9">
        <v>45764</v>
      </c>
      <c r="P4" s="9"/>
      <c r="Q4" s="9">
        <v>39448</v>
      </c>
      <c r="R4" s="9">
        <v>45764</v>
      </c>
      <c r="S4" s="9">
        <v>40333</v>
      </c>
      <c r="T4" s="9">
        <v>45755</v>
      </c>
      <c r="U4" s="9"/>
      <c r="V4" s="9"/>
      <c r="W4" s="9"/>
      <c r="X4" s="9"/>
      <c r="Y4" s="9"/>
      <c r="Z4" s="9"/>
    </row>
    <row r="5" spans="1:26" x14ac:dyDescent="0.25">
      <c r="A5" t="s">
        <v>10</v>
      </c>
      <c r="B5" t="s">
        <v>15</v>
      </c>
      <c r="C5" s="9">
        <v>45764</v>
      </c>
      <c r="D5" s="9"/>
      <c r="E5" s="9"/>
      <c r="F5" s="9"/>
      <c r="G5" s="9"/>
      <c r="H5" s="9"/>
      <c r="I5" s="9">
        <v>45764</v>
      </c>
      <c r="J5" s="9">
        <v>45764</v>
      </c>
      <c r="K5" s="9"/>
      <c r="L5" s="9"/>
      <c r="M5" s="9"/>
      <c r="N5" s="9"/>
      <c r="O5" s="9">
        <v>45764</v>
      </c>
      <c r="P5" s="9"/>
      <c r="Q5" s="9">
        <v>33909</v>
      </c>
      <c r="R5" s="9">
        <v>45764</v>
      </c>
      <c r="S5" s="9">
        <v>39668</v>
      </c>
      <c r="T5" s="9">
        <v>45755</v>
      </c>
      <c r="U5" s="9"/>
      <c r="V5" s="9"/>
      <c r="W5" s="9"/>
      <c r="X5" s="9"/>
      <c r="Y5" s="9"/>
      <c r="Z5" s="9"/>
    </row>
    <row r="6" spans="1:26" x14ac:dyDescent="0.25">
      <c r="A6" t="s">
        <v>10</v>
      </c>
      <c r="B6" t="s">
        <v>16</v>
      </c>
      <c r="C6" s="9">
        <v>45764</v>
      </c>
      <c r="D6" s="9"/>
      <c r="E6" s="9"/>
      <c r="F6" s="9"/>
      <c r="G6" s="9"/>
      <c r="H6" s="9"/>
      <c r="I6" s="9">
        <v>45764</v>
      </c>
      <c r="J6" s="9">
        <v>45764</v>
      </c>
      <c r="K6" s="9"/>
      <c r="L6" s="9"/>
      <c r="M6" s="9"/>
      <c r="N6" s="9"/>
      <c r="O6" s="9">
        <v>45764</v>
      </c>
      <c r="P6" s="9"/>
      <c r="Q6" s="9">
        <v>39448</v>
      </c>
      <c r="R6" s="9">
        <v>45764</v>
      </c>
      <c r="S6" s="9">
        <v>40333</v>
      </c>
      <c r="T6" s="9"/>
      <c r="U6" s="9"/>
      <c r="V6" s="9"/>
      <c r="W6" s="9"/>
      <c r="X6" s="9"/>
      <c r="Y6" s="9"/>
      <c r="Z6" s="9"/>
    </row>
    <row r="7" spans="1:26" x14ac:dyDescent="0.25">
      <c r="A7" t="s">
        <v>10</v>
      </c>
      <c r="B7" t="s">
        <v>17</v>
      </c>
      <c r="C7" s="9">
        <v>45764</v>
      </c>
      <c r="D7" s="9"/>
      <c r="E7" s="9"/>
      <c r="F7" s="9"/>
      <c r="G7" s="9"/>
      <c r="H7" s="9"/>
      <c r="I7" s="9">
        <v>45764</v>
      </c>
      <c r="J7" s="9">
        <v>45764</v>
      </c>
      <c r="K7" s="9"/>
      <c r="L7" s="9"/>
      <c r="M7" s="9"/>
      <c r="N7" s="9"/>
      <c r="O7" s="9">
        <v>45764</v>
      </c>
      <c r="P7" s="9"/>
      <c r="Q7" s="9">
        <v>42917</v>
      </c>
      <c r="R7" s="9">
        <v>45764</v>
      </c>
      <c r="S7" s="9">
        <v>42745</v>
      </c>
      <c r="T7" s="9"/>
      <c r="U7" s="9"/>
      <c r="V7" s="9"/>
      <c r="W7" s="9"/>
      <c r="X7" s="9"/>
      <c r="Y7" s="9"/>
      <c r="Z7" s="9"/>
    </row>
    <row r="8" spans="1:26" x14ac:dyDescent="0.25">
      <c r="A8" t="s">
        <v>10</v>
      </c>
      <c r="B8" t="s">
        <v>18</v>
      </c>
      <c r="C8" s="9">
        <v>45764</v>
      </c>
      <c r="D8" s="9"/>
      <c r="E8" s="9"/>
      <c r="F8" s="9"/>
      <c r="G8" s="9"/>
      <c r="H8" s="9"/>
      <c r="I8" s="9">
        <v>45764</v>
      </c>
      <c r="J8" s="9">
        <v>45764</v>
      </c>
      <c r="K8" s="9"/>
      <c r="L8" s="9"/>
      <c r="M8" s="9"/>
      <c r="N8" s="9"/>
      <c r="O8" s="9">
        <v>45764</v>
      </c>
      <c r="P8" s="9"/>
      <c r="Q8" s="9">
        <v>42917</v>
      </c>
      <c r="R8" s="9">
        <v>45764</v>
      </c>
      <c r="S8" s="9">
        <v>42745</v>
      </c>
      <c r="T8" s="9"/>
      <c r="U8" s="9"/>
      <c r="V8" s="9"/>
      <c r="W8" s="9"/>
      <c r="X8" s="9"/>
      <c r="Y8" s="9"/>
      <c r="Z8" s="9"/>
    </row>
    <row r="9" spans="1:26" x14ac:dyDescent="0.25">
      <c r="A9" t="s">
        <v>20</v>
      </c>
      <c r="B9" t="s">
        <v>19</v>
      </c>
      <c r="C9" s="9">
        <v>46091</v>
      </c>
      <c r="D9" s="9"/>
      <c r="E9" s="9">
        <v>46091</v>
      </c>
      <c r="F9" s="9"/>
      <c r="G9" s="9">
        <v>46091</v>
      </c>
      <c r="H9" s="9">
        <v>46091</v>
      </c>
      <c r="I9" s="9"/>
      <c r="J9" s="9"/>
      <c r="K9" s="9"/>
      <c r="L9" s="9">
        <v>46091</v>
      </c>
      <c r="M9" s="9"/>
      <c r="N9" s="9"/>
      <c r="O9" s="9">
        <v>46091</v>
      </c>
      <c r="P9" s="9">
        <v>46100</v>
      </c>
      <c r="Q9" s="9"/>
      <c r="R9" s="9"/>
      <c r="S9" s="9"/>
      <c r="T9" s="9"/>
      <c r="U9" s="9">
        <v>46091</v>
      </c>
      <c r="V9" s="9"/>
      <c r="W9" s="9"/>
      <c r="X9" s="9"/>
      <c r="Y9" s="9"/>
      <c r="Z9" s="9"/>
    </row>
    <row r="10" spans="1:26" x14ac:dyDescent="0.25">
      <c r="A10" t="s">
        <v>20</v>
      </c>
      <c r="B10" t="s">
        <v>21</v>
      </c>
      <c r="C10" s="9">
        <v>46091</v>
      </c>
      <c r="D10" s="9"/>
      <c r="E10" s="9">
        <v>46091</v>
      </c>
      <c r="F10" s="9"/>
      <c r="G10" s="9">
        <v>46091</v>
      </c>
      <c r="H10" s="9">
        <v>46091</v>
      </c>
      <c r="I10" s="9"/>
      <c r="J10" s="9"/>
      <c r="K10" s="9"/>
      <c r="L10" s="9">
        <v>46091</v>
      </c>
      <c r="M10" s="9"/>
      <c r="N10" s="9"/>
      <c r="O10" s="9">
        <v>46091</v>
      </c>
      <c r="P10" s="9">
        <v>46100</v>
      </c>
      <c r="Q10" s="9"/>
      <c r="R10" s="9"/>
      <c r="S10" s="9"/>
      <c r="T10" s="9"/>
      <c r="U10" s="9">
        <v>46091</v>
      </c>
      <c r="V10" s="9"/>
      <c r="W10" s="9"/>
      <c r="X10" s="9"/>
      <c r="Y10" s="9"/>
      <c r="Z10" s="9"/>
    </row>
    <row r="11" spans="1:26" x14ac:dyDescent="0.25">
      <c r="A11" t="s">
        <v>20</v>
      </c>
      <c r="B11" t="s">
        <v>22</v>
      </c>
      <c r="C11" s="9">
        <v>46091</v>
      </c>
      <c r="D11" s="9"/>
      <c r="E11" s="9">
        <v>46091</v>
      </c>
      <c r="F11" s="9"/>
      <c r="G11" s="9">
        <v>46091</v>
      </c>
      <c r="H11" s="9">
        <v>46091</v>
      </c>
      <c r="I11" s="9"/>
      <c r="J11" s="9"/>
      <c r="K11" s="9"/>
      <c r="L11" s="9">
        <v>46091</v>
      </c>
      <c r="M11" s="9"/>
      <c r="N11" s="9"/>
      <c r="O11" s="9">
        <v>46091</v>
      </c>
      <c r="P11" s="9">
        <v>46100</v>
      </c>
      <c r="Q11" s="9"/>
      <c r="R11" s="9"/>
      <c r="S11" s="9"/>
      <c r="T11" s="9"/>
      <c r="U11" s="9">
        <v>46091</v>
      </c>
      <c r="V11" s="9"/>
      <c r="W11" s="9"/>
      <c r="X11" s="9"/>
      <c r="Y11" s="9"/>
      <c r="Z11" s="9"/>
    </row>
    <row r="12" spans="1:26" x14ac:dyDescent="0.25">
      <c r="A12" t="s">
        <v>20</v>
      </c>
      <c r="B12" t="s">
        <v>23</v>
      </c>
      <c r="C12" s="9">
        <v>46091</v>
      </c>
      <c r="D12" s="9"/>
      <c r="E12" s="9">
        <v>46091</v>
      </c>
      <c r="F12" s="9"/>
      <c r="G12" s="9">
        <v>46091</v>
      </c>
      <c r="H12" s="9">
        <v>46091</v>
      </c>
      <c r="I12" s="9"/>
      <c r="J12" s="9"/>
      <c r="K12" s="9"/>
      <c r="L12" s="9">
        <v>46091</v>
      </c>
      <c r="M12" s="9"/>
      <c r="N12" s="9"/>
      <c r="O12" s="9">
        <v>46091</v>
      </c>
      <c r="P12" s="9">
        <v>46100</v>
      </c>
      <c r="Q12" s="9"/>
      <c r="R12" s="9"/>
      <c r="S12" s="9"/>
      <c r="T12" s="9"/>
      <c r="U12" s="9">
        <v>46091</v>
      </c>
      <c r="V12" s="9"/>
      <c r="W12" s="9"/>
      <c r="X12" s="9"/>
      <c r="Y12" s="9"/>
      <c r="Z12" s="9"/>
    </row>
    <row r="13" spans="1:26" x14ac:dyDescent="0.25">
      <c r="A13" t="s">
        <v>20</v>
      </c>
      <c r="B13" t="s">
        <v>24</v>
      </c>
      <c r="C13" s="9">
        <v>46091</v>
      </c>
      <c r="D13" s="9"/>
      <c r="E13" s="9">
        <v>46091</v>
      </c>
      <c r="F13" s="9"/>
      <c r="G13" s="9">
        <v>46091</v>
      </c>
      <c r="H13" s="9">
        <v>46091</v>
      </c>
      <c r="I13" s="9"/>
      <c r="J13" s="9"/>
      <c r="K13" s="9"/>
      <c r="L13" s="9">
        <v>46091</v>
      </c>
      <c r="M13" s="9"/>
      <c r="N13" s="9"/>
      <c r="O13" s="9">
        <v>46091</v>
      </c>
      <c r="P13" s="9">
        <v>46100</v>
      </c>
      <c r="Q13" s="9"/>
      <c r="R13" s="9"/>
      <c r="S13" s="9"/>
      <c r="T13" s="9"/>
      <c r="U13" s="9">
        <v>46091</v>
      </c>
      <c r="V13" s="9"/>
      <c r="W13" s="9"/>
      <c r="X13" s="9"/>
      <c r="Y13" s="9"/>
      <c r="Z13" s="9"/>
    </row>
    <row r="14" spans="1:26" x14ac:dyDescent="0.25">
      <c r="A14" t="s">
        <v>20</v>
      </c>
      <c r="B14" t="s">
        <v>25</v>
      </c>
      <c r="C14" s="9">
        <v>46091</v>
      </c>
      <c r="D14" s="9"/>
      <c r="E14" s="9">
        <v>46091</v>
      </c>
      <c r="F14" s="9">
        <v>44929</v>
      </c>
      <c r="G14" s="9">
        <v>46091</v>
      </c>
      <c r="H14" s="9">
        <v>45720</v>
      </c>
      <c r="I14" s="9">
        <v>45328</v>
      </c>
      <c r="J14" s="9">
        <v>45328</v>
      </c>
      <c r="K14" s="9">
        <v>45720</v>
      </c>
      <c r="L14" s="9">
        <v>46091</v>
      </c>
      <c r="M14" s="9">
        <v>44929</v>
      </c>
      <c r="N14" s="9"/>
      <c r="O14" s="9">
        <v>46091</v>
      </c>
      <c r="P14" s="9"/>
      <c r="Q14" s="9"/>
      <c r="R14" s="9"/>
      <c r="S14" s="9"/>
      <c r="T14" s="9"/>
      <c r="U14" s="9"/>
      <c r="V14" s="9">
        <v>39483</v>
      </c>
      <c r="W14" s="9">
        <v>45143</v>
      </c>
      <c r="X14" s="9">
        <v>45143</v>
      </c>
      <c r="Y14" s="9">
        <v>44972</v>
      </c>
      <c r="Z14" s="9">
        <v>44972</v>
      </c>
    </row>
    <row r="15" spans="1:26" x14ac:dyDescent="0.25">
      <c r="A15" t="s">
        <v>20</v>
      </c>
      <c r="B15" t="s">
        <v>26</v>
      </c>
      <c r="C15" s="9">
        <v>46091</v>
      </c>
      <c r="D15" s="9"/>
      <c r="E15" s="9">
        <v>46091</v>
      </c>
      <c r="F15" s="9">
        <v>44929</v>
      </c>
      <c r="G15" s="9">
        <v>46091</v>
      </c>
      <c r="H15" s="9">
        <v>45720</v>
      </c>
      <c r="I15" s="9">
        <v>45328</v>
      </c>
      <c r="J15" s="9">
        <v>45328</v>
      </c>
      <c r="K15" s="9">
        <v>45720</v>
      </c>
      <c r="L15" s="9">
        <v>46091</v>
      </c>
      <c r="M15" s="9">
        <v>44929</v>
      </c>
      <c r="N15" s="9"/>
      <c r="O15" s="9">
        <v>46091</v>
      </c>
      <c r="P15" s="9"/>
      <c r="Q15" s="9"/>
      <c r="R15" s="9"/>
      <c r="S15" s="9"/>
      <c r="T15" s="9"/>
      <c r="U15" s="9"/>
      <c r="V15" s="9">
        <v>39483</v>
      </c>
      <c r="W15" s="9">
        <v>45143</v>
      </c>
      <c r="X15" s="9">
        <v>45143</v>
      </c>
      <c r="Y15" s="9">
        <v>44972</v>
      </c>
      <c r="Z15" s="9">
        <v>44972</v>
      </c>
    </row>
    <row r="16" spans="1:26" x14ac:dyDescent="0.25">
      <c r="A16" t="s">
        <v>20</v>
      </c>
      <c r="B16" t="s">
        <v>27</v>
      </c>
      <c r="C16" s="9">
        <v>46091</v>
      </c>
      <c r="D16" s="9"/>
      <c r="E16" s="9">
        <v>46091</v>
      </c>
      <c r="F16" s="9">
        <v>44929</v>
      </c>
      <c r="G16" s="9">
        <v>46091</v>
      </c>
      <c r="H16" s="9">
        <v>45720</v>
      </c>
      <c r="I16" s="9">
        <v>45328</v>
      </c>
      <c r="J16" s="9">
        <v>45328</v>
      </c>
      <c r="K16" s="9">
        <v>45720</v>
      </c>
      <c r="L16" s="9">
        <v>46091</v>
      </c>
      <c r="M16" s="9">
        <v>44929</v>
      </c>
      <c r="N16" s="9"/>
      <c r="O16" s="9">
        <v>46091</v>
      </c>
      <c r="P16" s="9"/>
      <c r="Q16" s="9"/>
      <c r="R16" s="9"/>
      <c r="S16" s="9"/>
      <c r="T16" s="9"/>
      <c r="U16" s="9"/>
      <c r="V16" s="9">
        <v>39483</v>
      </c>
      <c r="W16" s="9">
        <v>45143</v>
      </c>
      <c r="X16" s="9">
        <v>45143</v>
      </c>
      <c r="Y16" s="9">
        <v>44972</v>
      </c>
      <c r="Z16" s="9">
        <v>44972</v>
      </c>
    </row>
    <row r="17" spans="3:26" x14ac:dyDescent="0.25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3:26" x14ac:dyDescent="0.25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3:26" x14ac:dyDescent="0.25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3:26" x14ac:dyDescent="0.25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3:26" x14ac:dyDescent="0.2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3:26" x14ac:dyDescent="0.25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3:26" x14ac:dyDescent="0.25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3:26" x14ac:dyDescent="0.25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3:26" x14ac:dyDescent="0.25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3:26" x14ac:dyDescent="0.25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3:26" x14ac:dyDescent="0.25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3:26" x14ac:dyDescent="0.25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3:26" x14ac:dyDescent="0.25"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3:26" x14ac:dyDescent="0.25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3:26" x14ac:dyDescent="0.25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3:26" x14ac:dyDescent="0.25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3:26" x14ac:dyDescent="0.25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3:26" x14ac:dyDescent="0.25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3:26" x14ac:dyDescent="0.25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3:26" x14ac:dyDescent="0.25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3:26" x14ac:dyDescent="0.25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3:26" x14ac:dyDescent="0.25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3:26" x14ac:dyDescent="0.25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3:26" x14ac:dyDescent="0.25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3:26" x14ac:dyDescent="0.25"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3:26" x14ac:dyDescent="0.25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3:26" x14ac:dyDescent="0.25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3:26" x14ac:dyDescent="0.25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3:26" x14ac:dyDescent="0.25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3:26" x14ac:dyDescent="0.25"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3:26" x14ac:dyDescent="0.25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3:26" x14ac:dyDescent="0.25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3:26" x14ac:dyDescent="0.25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3:26" x14ac:dyDescent="0.25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3:26" x14ac:dyDescent="0.25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3:26" x14ac:dyDescent="0.25"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3:26" x14ac:dyDescent="0.25"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3:26" x14ac:dyDescent="0.25"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3:26" x14ac:dyDescent="0.25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3:26" x14ac:dyDescent="0.25"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3:26" x14ac:dyDescent="0.25"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3:26" x14ac:dyDescent="0.25"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3:26" x14ac:dyDescent="0.25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3:26" x14ac:dyDescent="0.25"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3:26" x14ac:dyDescent="0.25"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3:26" x14ac:dyDescent="0.25"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3:26" x14ac:dyDescent="0.25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3:26" x14ac:dyDescent="0.25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3:26" x14ac:dyDescent="0.25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3:26" x14ac:dyDescent="0.25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3:26" x14ac:dyDescent="0.25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3:26" x14ac:dyDescent="0.25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3:26" x14ac:dyDescent="0.25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3:26" x14ac:dyDescent="0.25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3:26" x14ac:dyDescent="0.25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3:26" x14ac:dyDescent="0.25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3:26" x14ac:dyDescent="0.25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3:26" x14ac:dyDescent="0.25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3:26" x14ac:dyDescent="0.25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3:26" x14ac:dyDescent="0.25"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3:26" x14ac:dyDescent="0.25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3:26" x14ac:dyDescent="0.25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3:26" x14ac:dyDescent="0.25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3:26" x14ac:dyDescent="0.25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3:26" x14ac:dyDescent="0.25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3:26" x14ac:dyDescent="0.25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3:26" x14ac:dyDescent="0.25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3:26" x14ac:dyDescent="0.25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3:26" x14ac:dyDescent="0.25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3:26" x14ac:dyDescent="0.25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3:26" x14ac:dyDescent="0.25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3:26" x14ac:dyDescent="0.25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3:26" x14ac:dyDescent="0.25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3:26" x14ac:dyDescent="0.25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3:26" x14ac:dyDescent="0.25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3:26" x14ac:dyDescent="0.25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3:26" x14ac:dyDescent="0.25"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3:26" x14ac:dyDescent="0.25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3:26" x14ac:dyDescent="0.25"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3:26" x14ac:dyDescent="0.25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3:26" x14ac:dyDescent="0.25"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3:26" x14ac:dyDescent="0.25"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3:26" x14ac:dyDescent="0.25"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3:26" x14ac:dyDescent="0.25"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3:26" x14ac:dyDescent="0.25"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3:26" x14ac:dyDescent="0.25"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3:26" x14ac:dyDescent="0.25"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3:26" x14ac:dyDescent="0.25"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3:26" x14ac:dyDescent="0.25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3:26" x14ac:dyDescent="0.25"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3:26" x14ac:dyDescent="0.25"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3:26" x14ac:dyDescent="0.25"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3:26" x14ac:dyDescent="0.25"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3:26" x14ac:dyDescent="0.25"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3:26" x14ac:dyDescent="0.25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3:26" x14ac:dyDescent="0.25"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3:26" x14ac:dyDescent="0.25"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3:26" x14ac:dyDescent="0.25"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3:26" x14ac:dyDescent="0.25"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3:26" x14ac:dyDescent="0.25"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3:26" x14ac:dyDescent="0.25"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3:26" x14ac:dyDescent="0.25"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3:26" x14ac:dyDescent="0.25"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3:26" x14ac:dyDescent="0.25"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3:26" x14ac:dyDescent="0.25"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3:26" x14ac:dyDescent="0.25"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3:26" x14ac:dyDescent="0.25"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3:26" x14ac:dyDescent="0.25"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3:26" x14ac:dyDescent="0.25"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3:26" x14ac:dyDescent="0.25"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3:26" x14ac:dyDescent="0.25"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3:26" x14ac:dyDescent="0.25"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3:26" x14ac:dyDescent="0.25"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3:26" x14ac:dyDescent="0.25"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3:26" x14ac:dyDescent="0.25"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3:26" x14ac:dyDescent="0.25"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3:26" x14ac:dyDescent="0.25"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3:26" x14ac:dyDescent="0.25"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3:26" x14ac:dyDescent="0.25"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3:26" x14ac:dyDescent="0.25"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3:26" x14ac:dyDescent="0.25"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3:26" x14ac:dyDescent="0.25"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3:26" x14ac:dyDescent="0.25"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3:26" x14ac:dyDescent="0.25"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3:26" x14ac:dyDescent="0.25"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3:26" x14ac:dyDescent="0.25"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3:26" x14ac:dyDescent="0.25"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3:26" x14ac:dyDescent="0.25"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3:26" x14ac:dyDescent="0.25"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3:26" x14ac:dyDescent="0.25"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3:26" x14ac:dyDescent="0.25"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3:26" x14ac:dyDescent="0.25"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3:26" x14ac:dyDescent="0.25"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3:26" x14ac:dyDescent="0.25"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3:26" x14ac:dyDescent="0.25"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3:26" x14ac:dyDescent="0.25"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3:26" x14ac:dyDescent="0.25"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3:26" x14ac:dyDescent="0.25"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3:26" x14ac:dyDescent="0.25"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3:26" x14ac:dyDescent="0.25"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3:26" x14ac:dyDescent="0.25"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3:26" x14ac:dyDescent="0.25"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3:26" x14ac:dyDescent="0.25"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3:26" x14ac:dyDescent="0.25"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3:26" x14ac:dyDescent="0.25"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3:26" x14ac:dyDescent="0.25"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3:26" x14ac:dyDescent="0.25"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3:26" x14ac:dyDescent="0.25"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3:26" x14ac:dyDescent="0.25"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3:26" x14ac:dyDescent="0.25"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3:26" x14ac:dyDescent="0.25"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3:26" x14ac:dyDescent="0.25"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3:26" x14ac:dyDescent="0.25"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3:26" x14ac:dyDescent="0.25"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3:26" x14ac:dyDescent="0.25"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3:26" x14ac:dyDescent="0.25"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3:26" x14ac:dyDescent="0.25"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3:26" x14ac:dyDescent="0.25"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3:26" x14ac:dyDescent="0.25"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3:26" x14ac:dyDescent="0.25"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3:26" x14ac:dyDescent="0.25"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3:26" x14ac:dyDescent="0.25"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3:26" x14ac:dyDescent="0.25"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3:26" x14ac:dyDescent="0.25"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3:26" x14ac:dyDescent="0.25"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3:26" x14ac:dyDescent="0.25"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3:26" x14ac:dyDescent="0.25"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3:26" x14ac:dyDescent="0.25"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3:26" x14ac:dyDescent="0.25"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3:26" x14ac:dyDescent="0.25"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3:26" x14ac:dyDescent="0.25"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3:26" x14ac:dyDescent="0.25"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3:26" x14ac:dyDescent="0.25"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3:26" x14ac:dyDescent="0.25"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3:26" x14ac:dyDescent="0.25"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3:26" x14ac:dyDescent="0.25"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3:26" x14ac:dyDescent="0.25"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3:26" x14ac:dyDescent="0.25"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3:26" x14ac:dyDescent="0.25"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3:26" x14ac:dyDescent="0.25"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3:26" x14ac:dyDescent="0.25"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3:26" x14ac:dyDescent="0.25"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3:26" x14ac:dyDescent="0.25"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3:26" x14ac:dyDescent="0.25"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2">
    <mergeCell ref="C1:O1"/>
    <mergeCell ref="P1:Z1"/>
  </mergeCells>
  <conditionalFormatting sqref="C3:Z200">
    <cfRule type="expression" dxfId="1" priority="1">
      <formula>AND($B3&lt;&gt;"",C3="")</formula>
    </cfRule>
    <cfRule type="expression" dxfId="0" priority="4">
      <formula>AND(C3&lt;&gt;"",ISNUMBER(C3))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Dashboard</vt:lpstr>
      <vt:lpstr>Certifications</vt:lpstr>
      <vt:lpstr>Contractors</vt:lpstr>
      <vt:lpstr>Workers</vt:lpstr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Santiago, Josh</cp:lastModifiedBy>
  <dcterms:created xsi:type="dcterms:W3CDTF">2026-04-22T14:40:48Z</dcterms:created>
  <dcterms:modified xsi:type="dcterms:W3CDTF">2026-04-22T20:01:48Z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5f39c-8218-4425-a791-63c9e13c8708_Enabled">
    <vt:lpwstr>true</vt:lpwstr>
  </property>
  <property fmtid="{D5CDD505-2E9C-101B-9397-08002B2CF9AE}" pid="3" name="MSIP_Label_7d95f39c-8218-4425-a791-63c9e13c8708_SetDate">
    <vt:lpwstr>2026-04-22T17:48:26Z</vt:lpwstr>
  </property>
  <property fmtid="{D5CDD505-2E9C-101B-9397-08002B2CF9AE}" pid="4" name="MSIP_Label_7d95f39c-8218-4425-a791-63c9e13c8708_Method">
    <vt:lpwstr>Privileged</vt:lpwstr>
  </property>
  <property fmtid="{D5CDD505-2E9C-101B-9397-08002B2CF9AE}" pid="5" name="MSIP_Label_7d95f39c-8218-4425-a791-63c9e13c8708_Name">
    <vt:lpwstr>7d95f39c-8218-4425-a791-63c9e13c8708</vt:lpwstr>
  </property>
  <property fmtid="{D5CDD505-2E9C-101B-9397-08002B2CF9AE}" pid="6" name="MSIP_Label_7d95f39c-8218-4425-a791-63c9e13c8708_SiteId">
    <vt:lpwstr>37247798-f42c-42fd-8a37-d49c7128d36b</vt:lpwstr>
  </property>
  <property fmtid="{D5CDD505-2E9C-101B-9397-08002B2CF9AE}" pid="7" name="MSIP_Label_7d95f39c-8218-4425-a791-63c9e13c8708_ActionId">
    <vt:lpwstr>a480f3aa-b626-4976-8760-887f95fa6a90</vt:lpwstr>
  </property>
  <property fmtid="{D5CDD505-2E9C-101B-9397-08002B2CF9AE}" pid="8" name="MSIP_Label_7d95f39c-8218-4425-a791-63c9e13c8708_ContentBits">
    <vt:lpwstr>0</vt:lpwstr>
  </property>
  <property fmtid="{D5CDD505-2E9C-101B-9397-08002B2CF9AE}" pid="9" name="MSIP_Label_7d95f39c-8218-4425-a791-63c9e13c8708_Tag">
    <vt:lpwstr>10, 0, 1, 1</vt:lpwstr>
  </property>
</Properties>
</file>