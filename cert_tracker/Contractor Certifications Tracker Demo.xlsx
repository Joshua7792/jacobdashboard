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sant\jacobdashboard\cert_tracker\"/>
    </mc:Choice>
  </mc:AlternateContent>
  <xr:revisionPtr revIDLastSave="0" documentId="13_ncr:1_{FDC5C4BC-EE37-4703-847D-98BD12245E6B}" xr6:coauthVersionLast="47" xr6:coauthVersionMax="47" xr10:uidLastSave="{00000000-0000-0000-0000-000000000000}"/>
  <bookViews>
    <workbookView xWindow="28680" yWindow="-1860" windowWidth="29040" windowHeight="17520" activeTab="5" xr2:uid="{00000000-000D-0000-FFFF-FFFF00000000}"/>
  </bookViews>
  <sheets>
    <sheet name="Instructions" sheetId="1" r:id="rId1"/>
    <sheet name="Dashboard" sheetId="2" r:id="rId2"/>
    <sheet name="Certifications" sheetId="3" r:id="rId3"/>
    <sheet name="Contractors" sheetId="4" r:id="rId4"/>
    <sheet name="Workers" sheetId="5" r:id="rId5"/>
    <sheet name="Tracker" sheetId="6" r:id="rId6"/>
  </sheets>
  <definedNames>
    <definedName name="_xlnm._FilterDatabase" localSheetId="5" hidden="1">Tracker!$A$2:$Z$200</definedName>
    <definedName name="ContractorOption" comment="=Workers!$B$2:INDEX(Workers!$B:$B,LOOKUP(2,1/(Workers!$B:$B&lt;&gt;&quot;&quot;),ROW(Workers!$B:$B)))">Workers!$B$2:INDEX(Workers!$B:$B,LOOKUP(2,1/(Workers!$B:$B&lt;&gt;""),ROW(Workers!$B:$B)))</definedName>
    <definedName name="JobTitleOptions">Workers!$C$2:INDEX(Workers!$C:$C,LOOKUP(2,1/(Workers!$C:$C&lt;&gt;""),ROW(Workers!$C:$C)))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6" l="1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C32" i="2"/>
  <c r="B32" i="2"/>
  <c r="A32" i="2"/>
  <c r="B31" i="2"/>
  <c r="A31" i="2"/>
  <c r="C31" i="2" s="1"/>
  <c r="C30" i="2"/>
  <c r="B30" i="2"/>
  <c r="A30" i="2"/>
  <c r="B29" i="2"/>
  <c r="A29" i="2"/>
  <c r="C29" i="2" s="1"/>
  <c r="C28" i="2"/>
  <c r="B28" i="2"/>
  <c r="A28" i="2"/>
  <c r="B27" i="2"/>
  <c r="A27" i="2"/>
  <c r="C27" i="2" s="1"/>
  <c r="C26" i="2"/>
  <c r="B26" i="2"/>
  <c r="A26" i="2"/>
  <c r="B25" i="2"/>
  <c r="A25" i="2"/>
  <c r="C25" i="2" s="1"/>
  <c r="C24" i="2"/>
  <c r="B24" i="2"/>
  <c r="A24" i="2"/>
  <c r="B23" i="2"/>
  <c r="A23" i="2"/>
  <c r="C23" i="2" s="1"/>
  <c r="C22" i="2"/>
  <c r="B22" i="2"/>
  <c r="A22" i="2"/>
  <c r="B21" i="2"/>
  <c r="A21" i="2"/>
  <c r="C21" i="2" s="1"/>
  <c r="C20" i="2"/>
  <c r="B20" i="2"/>
  <c r="A20" i="2"/>
  <c r="B19" i="2"/>
  <c r="A19" i="2"/>
  <c r="C19" i="2" s="1"/>
  <c r="C18" i="2"/>
  <c r="B18" i="2"/>
  <c r="A18" i="2"/>
  <c r="B17" i="2"/>
  <c r="A17" i="2"/>
  <c r="C17" i="2" s="1"/>
  <c r="C16" i="2"/>
  <c r="B16" i="2"/>
  <c r="A16" i="2"/>
  <c r="B15" i="2"/>
  <c r="A15" i="2"/>
  <c r="C15" i="2" s="1"/>
  <c r="C14" i="2"/>
  <c r="B14" i="2"/>
  <c r="A14" i="2"/>
  <c r="B13" i="2"/>
  <c r="A13" i="2"/>
  <c r="C13" i="2" s="1"/>
  <c r="C12" i="2"/>
  <c r="B12" i="2"/>
  <c r="A12" i="2"/>
  <c r="B11" i="2"/>
  <c r="A11" i="2"/>
  <c r="C11" i="2" s="1"/>
  <c r="C10" i="2"/>
  <c r="B10" i="2"/>
  <c r="A10" i="2"/>
  <c r="B9" i="2"/>
  <c r="A9" i="2"/>
  <c r="C9" i="2" s="1"/>
  <c r="G4" i="2"/>
  <c r="E4" i="2"/>
  <c r="C4" i="2"/>
  <c r="A4" i="2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9" i="2" l="1"/>
  <c r="E9" i="2"/>
  <c r="F9" i="2" s="1"/>
  <c r="D17" i="2"/>
  <c r="E17" i="2" s="1"/>
  <c r="F17" i="2" s="1"/>
  <c r="D25" i="2"/>
  <c r="E25" i="2"/>
  <c r="F25" i="2" s="1"/>
  <c r="D11" i="2"/>
  <c r="E11" i="2" s="1"/>
  <c r="F11" i="2" s="1"/>
  <c r="D19" i="2"/>
  <c r="E19" i="2"/>
  <c r="F19" i="2" s="1"/>
  <c r="D27" i="2"/>
  <c r="E27" i="2" s="1"/>
  <c r="F27" i="2" s="1"/>
  <c r="D13" i="2"/>
  <c r="E13" i="2"/>
  <c r="F13" i="2" s="1"/>
  <c r="D21" i="2"/>
  <c r="E21" i="2"/>
  <c r="F21" i="2" s="1"/>
  <c r="E22" i="2"/>
  <c r="F22" i="2" s="1"/>
  <c r="D29" i="2"/>
  <c r="E29" i="2" s="1"/>
  <c r="F29" i="2" s="1"/>
  <c r="D15" i="2"/>
  <c r="E15" i="2" s="1"/>
  <c r="F15" i="2" s="1"/>
  <c r="D23" i="2"/>
  <c r="E23" i="2"/>
  <c r="F23" i="2" s="1"/>
  <c r="D31" i="2"/>
  <c r="E31" i="2"/>
  <c r="F31" i="2" s="1"/>
  <c r="D10" i="2"/>
  <c r="E10" i="2" s="1"/>
  <c r="F10" i="2" s="1"/>
  <c r="D12" i="2"/>
  <c r="E12" i="2" s="1"/>
  <c r="F12" i="2" s="1"/>
  <c r="D14" i="2"/>
  <c r="E14" i="2" s="1"/>
  <c r="F14" i="2" s="1"/>
  <c r="D16" i="2"/>
  <c r="E16" i="2" s="1"/>
  <c r="F16" i="2" s="1"/>
  <c r="D18" i="2"/>
  <c r="E18" i="2" s="1"/>
  <c r="F18" i="2" s="1"/>
  <c r="D20" i="2"/>
  <c r="E20" i="2" s="1"/>
  <c r="F20" i="2" s="1"/>
  <c r="D22" i="2"/>
  <c r="D24" i="2"/>
  <c r="E24" i="2" s="1"/>
  <c r="F24" i="2" s="1"/>
  <c r="D26" i="2"/>
  <c r="E26" i="2" s="1"/>
  <c r="F26" i="2" s="1"/>
  <c r="D28" i="2"/>
  <c r="E28" i="2" s="1"/>
  <c r="F28" i="2" s="1"/>
  <c r="D30" i="2"/>
  <c r="E30" i="2" s="1"/>
  <c r="F30" i="2" s="1"/>
  <c r="D32" i="2"/>
  <c r="E32" i="2" s="1"/>
  <c r="F32" i="2" s="1"/>
</calcChain>
</file>

<file path=xl/sharedStrings.xml><?xml version="1.0" encoding="utf-8"?>
<sst xmlns="http://schemas.openxmlformats.org/spreadsheetml/2006/main" count="379" uniqueCount="207">
  <si>
    <t>Contractor Name</t>
  </si>
  <si>
    <t>Primary Contact</t>
  </si>
  <si>
    <t>Specialty</t>
  </si>
  <si>
    <t>Workers (count)</t>
  </si>
  <si>
    <t>Notes</t>
  </si>
  <si>
    <t>Stonewall Drilling Services, LLC</t>
  </si>
  <si>
    <t>Juan Pérez Vázquez</t>
  </si>
  <si>
    <t>Drilling / Geotechnical</t>
  </si>
  <si>
    <t>Atlas Concrete Works, Inc.</t>
  </si>
  <si>
    <t>Carla M. Santos Vega</t>
  </si>
  <si>
    <t>Concrete &amp; Foundation</t>
  </si>
  <si>
    <t>PowerLine Electric Corp.</t>
  </si>
  <si>
    <t>Miguel Torres Ramos</t>
  </si>
  <si>
    <t>Electrical &amp; Instrumentation</t>
  </si>
  <si>
    <t>SafePath Excavation, Co.</t>
  </si>
  <si>
    <t>Ana L. Reyes Díaz</t>
  </si>
  <si>
    <t>Excavation &amp; Earthworks</t>
  </si>
  <si>
    <t>SkyHigh Scaffolding Solutions</t>
  </si>
  <si>
    <t>Roberto Díaz Cruz</t>
  </si>
  <si>
    <t>Scaffolding / Access Systems</t>
  </si>
  <si>
    <t>Atlantic Safety Builders, LLC</t>
  </si>
  <si>
    <t>Maria Santos</t>
  </si>
  <si>
    <t>General Construction</t>
  </si>
  <si>
    <t>Demo contractor</t>
  </si>
  <si>
    <t>North Shore Mechanical, Inc.</t>
  </si>
  <si>
    <t>Carlos Rivera</t>
  </si>
  <si>
    <t>Mechanical / Utilities</t>
  </si>
  <si>
    <t>Caribbean Concrete Works</t>
  </si>
  <si>
    <t>Andrea Cruz</t>
  </si>
  <si>
    <t>Concrete and Masonry</t>
  </si>
  <si>
    <t>IronCore Contractors</t>
  </si>
  <si>
    <t>Daniel Perez</t>
  </si>
  <si>
    <t>Structural Steel</t>
  </si>
  <si>
    <t>Coastal Infrastructure LLC</t>
  </si>
  <si>
    <t>Miguel Lopez</t>
  </si>
  <si>
    <t>Civil / Infrastructure</t>
  </si>
  <si>
    <t>Pioneer Site Solutions</t>
  </si>
  <si>
    <t>Anthony Ramos</t>
  </si>
  <si>
    <t>Site Development</t>
  </si>
  <si>
    <t>Cornerstone Industrial Group, Corp</t>
  </si>
  <si>
    <t>Contractor Certifications Tracker</t>
  </si>
  <si>
    <t>How to use this workbook</t>
  </si>
  <si>
    <t>1. Add new contractors on the Contractors tab.</t>
  </si>
  <si>
    <t>2. Add workers on the Workers tab. Each worker belongs to one contractor (pick from dropdown).</t>
  </si>
  <si>
    <t>3. Review required certifications on the Certifications tab. Add new ones if HSE adds them.</t>
  </si>
  <si>
    <t>4. On the Tracker tab, enter the completion date for each worker / certification combo.</t>
  </si>
  <si>
    <t>5. The Dashboard tab auto-updates: compliance %, missing certs, expiring soon.</t>
  </si>
  <si>
    <t>Color coding on the Tracker</t>
  </si>
  <si>
    <t>• Red cell     = certification missing (empty)</t>
  </si>
  <si>
    <t>• Yellow cell  = completed, expiring within 60 days</t>
  </si>
  <si>
    <t>• Orange cell  = expired (past validity based on Certifications tab)</t>
  </si>
  <si>
    <t>• Green cell   = current</t>
  </si>
  <si>
    <t>Sharing with peers</t>
  </si>
  <si>
    <t>Save this file to OneDrive or SharePoint and turn on co-authoring so peers can edit simultaneously.</t>
  </si>
  <si>
    <t>Every edit is tracked in Version History (File → Info → Version History).</t>
  </si>
  <si>
    <t>• Validity years in the Certifications tab drive expiration logic. 0 = no expiration.</t>
  </si>
  <si>
    <t>• Dates must be entered as real dates (mm/dd/yyyy), not text.</t>
  </si>
  <si>
    <t>Contractor Certifications Dashboard</t>
  </si>
  <si>
    <t>Total Contractors</t>
  </si>
  <si>
    <t>Total Workers</t>
  </si>
  <si>
    <t>Active Workers</t>
  </si>
  <si>
    <t>Today</t>
  </si>
  <si>
    <t>Compliance by Certification</t>
  </si>
  <si>
    <t>Certification</t>
  </si>
  <si>
    <t>Category</t>
  </si>
  <si>
    <t>% Complete</t>
  </si>
  <si>
    <t>Bar</t>
  </si>
  <si>
    <t>Validity (years, 0=none)</t>
  </si>
  <si>
    <t>Protección Contra Caídas</t>
  </si>
  <si>
    <t>HSE Required</t>
  </si>
  <si>
    <t>Flama Expuesta</t>
  </si>
  <si>
    <t>Espacios Confinados</t>
  </si>
  <si>
    <t>Manejo de Equipo Motorizado</t>
  </si>
  <si>
    <t>Excavación o Zanja</t>
  </si>
  <si>
    <t>Manejo de Tijeras (Scissor Lift)</t>
  </si>
  <si>
    <t>Seguridad Eléctrica</t>
  </si>
  <si>
    <t>Lockout</t>
  </si>
  <si>
    <t>Manejo de Grúas</t>
  </si>
  <si>
    <t>Escaleras</t>
  </si>
  <si>
    <t>Andamios</t>
  </si>
  <si>
    <t>Trabajos con Plomo o Asbesto</t>
  </si>
  <si>
    <t>Comunicación de Riesgos</t>
  </si>
  <si>
    <t>Inducción Jacobs/Lilly</t>
  </si>
  <si>
    <t>Additional Training</t>
  </si>
  <si>
    <t>OSHA 40Hr HAZWOPER</t>
  </si>
  <si>
    <t>OSHA 8Hr Refresher</t>
  </si>
  <si>
    <t>Drilling Safety</t>
  </si>
  <si>
    <t>Utility Locating</t>
  </si>
  <si>
    <t>OSHA 10</t>
  </si>
  <si>
    <t>OSHA 30</t>
  </si>
  <si>
    <t>Rebar Safety</t>
  </si>
  <si>
    <t>Formwork &amp; Shoring</t>
  </si>
  <si>
    <t>Silica Exposure</t>
  </si>
  <si>
    <t>Concrete &amp; Masonry</t>
  </si>
  <si>
    <t>Worker Name</t>
  </si>
  <si>
    <t>Contractor</t>
  </si>
  <si>
    <t>Job Title</t>
  </si>
  <si>
    <t>Status</t>
  </si>
  <si>
    <t>Employee Code</t>
  </si>
  <si>
    <t>Hire Date</t>
  </si>
  <si>
    <t>Email</t>
  </si>
  <si>
    <t>Phone</t>
  </si>
  <si>
    <t>Pedro A. Maldonado</t>
  </si>
  <si>
    <t>Lead Driller</t>
  </si>
  <si>
    <t>active</t>
  </si>
  <si>
    <t>Samuel Ortiz Burgos</t>
  </si>
  <si>
    <t>Driller Helper</t>
  </si>
  <si>
    <t>Luis R. Negrón Ruiz</t>
  </si>
  <si>
    <t>Driller</t>
  </si>
  <si>
    <t>Marta I. Colón</t>
  </si>
  <si>
    <t>Apprentice</t>
  </si>
  <si>
    <t>onboarding</t>
  </si>
  <si>
    <t>Raúl García Molina</t>
  </si>
  <si>
    <t>Foreman</t>
  </si>
  <si>
    <t>Ismael Villa</t>
  </si>
  <si>
    <t>Concrete Finisher</t>
  </si>
  <si>
    <t>Diego Acosta</t>
  </si>
  <si>
    <t>Laborer</t>
  </si>
  <si>
    <t>Javier Méndez Torres</t>
  </si>
  <si>
    <t>Master Electrician</t>
  </si>
  <si>
    <t>Óscar R. Figueroa</t>
  </si>
  <si>
    <t>Electrician</t>
  </si>
  <si>
    <t>Edwin Ruiz Pagán</t>
  </si>
  <si>
    <t>Apprentice Electrician</t>
  </si>
  <si>
    <t>Antonio Benítez</t>
  </si>
  <si>
    <t>Equipment Operator</t>
  </si>
  <si>
    <t>Fernando Soto</t>
  </si>
  <si>
    <t>Operator</t>
  </si>
  <si>
    <t>Rafael Martínez</t>
  </si>
  <si>
    <t>Spotter</t>
  </si>
  <si>
    <t>Gabriel Estévez</t>
  </si>
  <si>
    <t>Scaffold Erector</t>
  </si>
  <si>
    <t>Mateo Villanueva</t>
  </si>
  <si>
    <t>Scaffold Helper</t>
  </si>
  <si>
    <t>Leonardo Benítez</t>
  </si>
  <si>
    <t>John Martinez</t>
  </si>
  <si>
    <t>ASB-001</t>
  </si>
  <si>
    <t>john.martinez@asb.com</t>
  </si>
  <si>
    <t>787-555-0101</t>
  </si>
  <si>
    <t>Luis Gonzalez</t>
  </si>
  <si>
    <t>ASB-002</t>
  </si>
  <si>
    <t>luis.gonzalez@asb.com</t>
  </si>
  <si>
    <t>787-555-0102</t>
  </si>
  <si>
    <t>Maria Torres</t>
  </si>
  <si>
    <t>Safety Officer</t>
  </si>
  <si>
    <t>inactive</t>
  </si>
  <si>
    <t>ASB-003</t>
  </si>
  <si>
    <t>maria.torres@asb.com</t>
  </si>
  <si>
    <t>787-555-0103</t>
  </si>
  <si>
    <t>Supervisor</t>
  </si>
  <si>
    <t>NSM-001</t>
  </si>
  <si>
    <t>carlos.rivera@nsm.com</t>
  </si>
  <si>
    <t>787-555-0201</t>
  </si>
  <si>
    <t>Javier Morales</t>
  </si>
  <si>
    <t>Technician</t>
  </si>
  <si>
    <t>NSM-002</t>
  </si>
  <si>
    <t>javier.morales@nsm.com</t>
  </si>
  <si>
    <t>787-555-0202</t>
  </si>
  <si>
    <t>Elena Ruiz</t>
  </si>
  <si>
    <t>Engineer</t>
  </si>
  <si>
    <t>NSM-003</t>
  </si>
  <si>
    <t>elena.ruiz@nsm.com</t>
  </si>
  <si>
    <t>787-555-0203</t>
  </si>
  <si>
    <t>Project Manager</t>
  </si>
  <si>
    <t>CCW-001</t>
  </si>
  <si>
    <t>andrea.cruz@ccw.com</t>
  </si>
  <si>
    <t>787-555-0301</t>
  </si>
  <si>
    <t>Pedro Santiago</t>
  </si>
  <si>
    <t>Mason</t>
  </si>
  <si>
    <t>CCW-002</t>
  </si>
  <si>
    <t>pedro.santiago@ccw.com</t>
  </si>
  <si>
    <t>787-555-0302</t>
  </si>
  <si>
    <t>Ricardo Vega</t>
  </si>
  <si>
    <t>CCW-003</t>
  </si>
  <si>
    <t>ricardo.vega@ccw.com</t>
  </si>
  <si>
    <t>787-555-0303</t>
  </si>
  <si>
    <t>Welder</t>
  </si>
  <si>
    <t>ICC-001</t>
  </si>
  <si>
    <t>daniel.perez@ironcore.com</t>
  </si>
  <si>
    <t>787-555-0401</t>
  </si>
  <si>
    <t>Sofia Martinez</t>
  </si>
  <si>
    <t>Inspector</t>
  </si>
  <si>
    <t>ICC-002</t>
  </si>
  <si>
    <t>sofia.martinez@ironcore.com</t>
  </si>
  <si>
    <t>787-555-0402</t>
  </si>
  <si>
    <t>Civil Engineer</t>
  </si>
  <si>
    <t>CIL-001</t>
  </si>
  <si>
    <t>miguel.lopez@coastal.com</t>
  </si>
  <si>
    <t>787-555-0501</t>
  </si>
  <si>
    <t>Valeria Ortiz</t>
  </si>
  <si>
    <t>Surveyor</t>
  </si>
  <si>
    <t>CIL-002</t>
  </si>
  <si>
    <t>valeria.ortiz@coastal.com</t>
  </si>
  <si>
    <t>787-555-0502</t>
  </si>
  <si>
    <t>Site Manager</t>
  </si>
  <si>
    <t>PSS-001</t>
  </si>
  <si>
    <t>anthony.ramos@pss.com</t>
  </si>
  <si>
    <t>787-555-0601</t>
  </si>
  <si>
    <t>Camila Reyes</t>
  </si>
  <si>
    <t>Coordinator</t>
  </si>
  <si>
    <t>PSS-002</t>
  </si>
  <si>
    <t>camila.reyes@pss.com</t>
  </si>
  <si>
    <t>787-555-0602</t>
  </si>
  <si>
    <t>Francisco González Carmona</t>
  </si>
  <si>
    <t>Steven Cruz Martínez</t>
  </si>
  <si>
    <t>HSE Required Certifications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</si>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</sst>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m/dd/yyyy"/>
  </numFmts>
  <fonts count="10" x14ac:knownFonts="1">
    <font>
      <sz val="11"/>
      <color theme="1"/>
      <name val="Calibri"/>
      <family val="2"/>
      <scheme val="minor"/>
    </font>
    <font>
      <b/>
      <sz val="16"/>
      <color rgb="FF1F3A5F"/>
      <name val="Calibri"/>
    </font>
    <font>
      <b/>
      <sz val="12"/>
      <color rgb="FF1F3A5F"/>
      <name val="Calibri"/>
    </font>
    <font>
      <b/>
      <sz val="11"/>
      <color rgb="FFFFFFFF"/>
      <name val="Calibri"/>
    </font>
    <font>
      <b/>
      <sz val="10"/>
      <color rgb="FF1F3A5F"/>
      <name val="Calibri"/>
    </font>
    <font>
      <b/>
      <sz val="20"/>
      <color rgb="FF1F3A5F"/>
      <name val="Calibri"/>
    </font>
    <font>
      <b/>
      <sz val="13"/>
      <color rgb="FF1F3A5F"/>
      <name val="Calibri"/>
    </font>
    <font>
      <sz val="11"/>
      <color rgb="FF2E7D32"/>
      <name val="Calibri"/>
    </font>
    <font>
      <b/>
      <sz val="11"/>
      <color rgb="FFFFFFFF"/>
      <name val="Calibri"/>
      <family val="2"/>
    </font>
    <font>
      <sz val="11"/>
      <color rgb="FF2E7D3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2E5984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7" fillId="0" borderId="1" xfId="0" applyFont="1" applyBorder="1"/>
    <xf numFmtId="0" fontId="0" fillId="0" borderId="0" xfId="0" applyAlignment="1">
      <alignment wrapText="1"/>
    </xf>
    <xf numFmtId="0" fontId="2" fillId="0" borderId="0" xfId="0" applyFont="1"/>
    <xf numFmtId="165" fontId="0" fillId="0" borderId="0" xfId="0" applyNumberFormat="1"/>
    <xf numFmtId="0" fontId="0" fillId="2" borderId="0" xfId="0" applyFill="1"/>
    <xf numFmtId="165" fontId="0" fillId="0" borderId="1" xfId="0" applyNumberFormat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164" fontId="0" fillId="0" borderId="2" xfId="0" applyNumberFormat="1" applyBorder="1"/>
    <xf numFmtId="0" fontId="9" fillId="0" borderId="2" xfId="0" applyFont="1" applyBorder="1"/>
    <xf numFmtId="0" fontId="3" fillId="3" borderId="0" xfId="0" applyFont="1" applyFill="1" applyAlignment="1">
      <alignment horizontal="center" vertical="center"/>
    </xf>
    <xf numFmtId="0" fontId="0" fillId="0" borderId="0" xfId="0"/>
    <xf numFmtId="0" fontId="1" fillId="0" borderId="0" xfId="0" applyFont="1"/>
    <xf numFmtId="0" fontId="4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7">
    <dxf>
      <fill>
        <patternFill patternType="solid">
          <bgColor rgb="FFC6EFCE"/>
        </patternFill>
      </fill>
    </dxf>
    <dxf>
      <fill>
        <patternFill patternType="solid">
          <bgColor rgb="FFFFE699"/>
        </patternFill>
      </fill>
    </dxf>
    <dxf>
      <fill>
        <patternFill patternType="solid">
          <bgColor rgb="FFFF0000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8CBAD"/>
        </patternFill>
      </fill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ertificationsTable" displayName="CertificationsTable" ref="A1:D60">
  <autoFilter ref="A1:D60" xr:uid="{00000000-0009-0000-0100-000001000000}"/>
  <tableColumns count="4">
    <tableColumn id="1" xr3:uid="{00000000-0010-0000-0000-000001000000}" name="Certification"/>
    <tableColumn id="2" xr3:uid="{00000000-0010-0000-0000-000002000000}" name="Category"/>
    <tableColumn id="3" xr3:uid="{00000000-0010-0000-0000-000003000000}" name="Validity (years, 0=none)"/>
    <tableColumn id="4" xr3:uid="{00000000-0010-0000-0000-000004000000}" name="Note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ntractorsTable" displayName="ContractorsTable" ref="A1:E50">
  <autoFilter ref="A1:E50" xr:uid="{00000000-0009-0000-0100-000002000000}"/>
  <tableColumns count="5">
    <tableColumn id="1" xr3:uid="{00000000-0010-0000-0100-000001000000}" name="Contractor Name"/>
    <tableColumn id="2" xr3:uid="{00000000-0010-0000-0100-000002000000}" name="Primary Contact"/>
    <tableColumn id="3" xr3:uid="{00000000-0010-0000-0100-000003000000}" name="Specialty"/>
    <tableColumn id="4" xr3:uid="{00000000-0010-0000-0100-000004000000}" name="Workers (count)" dataDxfId="6">
      <calculatedColumnFormula>IF(A2="","",COUNTIF(Workers!B:B,A2))</calculatedColumnFormula>
    </tableColumn>
    <tableColumn id="5" xr3:uid="{00000000-0010-0000-0100-000005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WorkersTable" displayName="WorkersTable" ref="A1:I200">
  <autoFilter ref="A1:I200" xr:uid="{00000000-0009-0000-0100-000003000000}"/>
  <tableColumns count="9">
    <tableColumn id="1" xr3:uid="{00000000-0010-0000-0200-000001000000}" name="Worker Name"/>
    <tableColumn id="2" xr3:uid="{00000000-0010-0000-0200-000002000000}" name="Contractor"/>
    <tableColumn id="3" xr3:uid="{00000000-0010-0000-0200-000003000000}" name="Job Title"/>
    <tableColumn id="4" xr3:uid="{00000000-0010-0000-0200-000004000000}" name="Status"/>
    <tableColumn id="5" xr3:uid="{00000000-0010-0000-0200-000005000000}" name="Employee Code"/>
    <tableColumn id="6" xr3:uid="{00000000-0010-0000-0200-000006000000}" name="Hire Date"/>
    <tableColumn id="7" xr3:uid="{00000000-0010-0000-0200-000007000000}" name="Email"/>
    <tableColumn id="8" xr3:uid="{00000000-0010-0000-0200-000008000000}" name="Phone"/>
    <tableColumn id="9" xr3:uid="{00000000-0010-0000-0200-000009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workbookViewId="0">
      <selection sqref="A1:F1"/>
    </sheetView>
  </sheetViews>
  <sheetFormatPr defaultRowHeight="15" x14ac:dyDescent="0.25"/>
  <cols>
    <col min="1" max="1" width="110" customWidth="1"/>
  </cols>
  <sheetData>
    <row r="1" spans="1:6" ht="21" customHeight="1" x14ac:dyDescent="0.35">
      <c r="A1" s="16" t="s">
        <v>40</v>
      </c>
      <c r="B1" s="15"/>
      <c r="C1" s="15"/>
      <c r="D1" s="15"/>
      <c r="E1" s="15"/>
      <c r="F1" s="15"/>
    </row>
    <row r="2" spans="1:6" x14ac:dyDescent="0.25">
      <c r="A2" s="5"/>
    </row>
    <row r="3" spans="1:6" ht="15.75" customHeight="1" x14ac:dyDescent="0.25">
      <c r="A3" s="6" t="s">
        <v>41</v>
      </c>
    </row>
    <row r="4" spans="1:6" x14ac:dyDescent="0.25">
      <c r="A4" s="5" t="s">
        <v>42</v>
      </c>
    </row>
    <row r="5" spans="1:6" x14ac:dyDescent="0.25">
      <c r="A5" s="5" t="s">
        <v>43</v>
      </c>
    </row>
    <row r="6" spans="1:6" x14ac:dyDescent="0.25">
      <c r="A6" s="5" t="s">
        <v>44</v>
      </c>
    </row>
    <row r="7" spans="1:6" x14ac:dyDescent="0.25">
      <c r="A7" s="5" t="s">
        <v>45</v>
      </c>
    </row>
    <row r="8" spans="1:6" x14ac:dyDescent="0.25">
      <c r="A8" s="5" t="s">
        <v>46</v>
      </c>
    </row>
    <row r="9" spans="1:6" x14ac:dyDescent="0.25">
      <c r="A9" s="5"/>
    </row>
    <row r="10" spans="1:6" ht="15.75" customHeight="1" x14ac:dyDescent="0.25">
      <c r="A10" s="6" t="s">
        <v>47</v>
      </c>
    </row>
    <row r="11" spans="1:6" x14ac:dyDescent="0.25">
      <c r="A11" s="5" t="s">
        <v>48</v>
      </c>
    </row>
    <row r="12" spans="1:6" x14ac:dyDescent="0.25">
      <c r="A12" s="5" t="s">
        <v>49</v>
      </c>
    </row>
    <row r="13" spans="1:6" x14ac:dyDescent="0.25">
      <c r="A13" s="5" t="s">
        <v>50</v>
      </c>
    </row>
    <row r="14" spans="1:6" x14ac:dyDescent="0.25">
      <c r="A14" s="5" t="s">
        <v>51</v>
      </c>
    </row>
    <row r="15" spans="1:6" x14ac:dyDescent="0.25">
      <c r="A15" s="5"/>
    </row>
    <row r="16" spans="1:6" ht="15.75" customHeight="1" x14ac:dyDescent="0.25">
      <c r="A16" s="6" t="s">
        <v>52</v>
      </c>
    </row>
    <row r="17" spans="1:1" x14ac:dyDescent="0.25">
      <c r="A17" s="5" t="s">
        <v>53</v>
      </c>
    </row>
    <row r="18" spans="1:1" x14ac:dyDescent="0.25">
      <c r="A18" s="5" t="s">
        <v>54</v>
      </c>
    </row>
    <row r="19" spans="1:1" x14ac:dyDescent="0.25">
      <c r="A19" s="5"/>
    </row>
    <row r="20" spans="1:1" ht="15.75" customHeight="1" x14ac:dyDescent="0.25">
      <c r="A20" s="6" t="s">
        <v>4</v>
      </c>
    </row>
    <row r="21" spans="1:1" x14ac:dyDescent="0.25">
      <c r="A21" s="5" t="s">
        <v>55</v>
      </c>
    </row>
    <row r="22" spans="1:1" x14ac:dyDescent="0.25">
      <c r="A22" s="5" t="s">
        <v>56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showGridLines="0" workbookViewId="0">
      <pane ySplit="1" topLeftCell="A2" activePane="bottomLeft" state="frozen"/>
      <selection pane="bottomLeft" activeCell="C8" sqref="C8"/>
    </sheetView>
  </sheetViews>
  <sheetFormatPr defaultRowHeight="15" x14ac:dyDescent="0.25"/>
  <cols>
    <col min="1" max="1" width="28.42578125" bestFit="1" customWidth="1"/>
    <col min="2" max="2" width="18.140625" bestFit="1" customWidth="1"/>
    <col min="3" max="3" width="10.85546875" bestFit="1" customWidth="1"/>
    <col min="4" max="4" width="7.85546875" bestFit="1" customWidth="1"/>
    <col min="5" max="5" width="11.7109375" bestFit="1" customWidth="1"/>
    <col min="6" max="6" width="27.28515625" bestFit="1" customWidth="1"/>
    <col min="8" max="8" width="13.42578125" customWidth="1"/>
  </cols>
  <sheetData>
    <row r="1" spans="1:8" ht="21" customHeight="1" x14ac:dyDescent="0.35">
      <c r="A1" s="16" t="s">
        <v>57</v>
      </c>
      <c r="B1" s="15"/>
      <c r="C1" s="15"/>
      <c r="D1" s="15"/>
      <c r="E1" s="15"/>
      <c r="F1" s="15"/>
    </row>
    <row r="3" spans="1:8" x14ac:dyDescent="0.25">
      <c r="A3" s="17" t="s">
        <v>58</v>
      </c>
      <c r="B3" s="15"/>
      <c r="C3" s="17" t="s">
        <v>59</v>
      </c>
      <c r="D3" s="15"/>
      <c r="E3" s="17" t="s">
        <v>60</v>
      </c>
      <c r="F3" s="15"/>
      <c r="G3" s="17" t="s">
        <v>61</v>
      </c>
      <c r="H3" s="15"/>
    </row>
    <row r="4" spans="1:8" x14ac:dyDescent="0.25">
      <c r="A4" s="18">
        <f>COUNTA(Contractors!A2:A50)</f>
        <v>12</v>
      </c>
      <c r="B4" s="15"/>
      <c r="C4" s="18">
        <f>COUNTA(Workers!A2:A200)</f>
        <v>33</v>
      </c>
      <c r="D4" s="15"/>
      <c r="E4" s="18">
        <f>COUNTIFS(Workers!A2:A200,"&lt;&gt;",Workers!D2:D200,"active")</f>
        <v>27</v>
      </c>
      <c r="F4" s="15"/>
      <c r="G4" s="18" t="str">
        <f ca="1">TEXT(TODAY(),"mm/dd/yyyy")</f>
        <v>04/27/2026</v>
      </c>
      <c r="H4" s="15"/>
    </row>
    <row r="5" spans="1:8" x14ac:dyDescent="0.25">
      <c r="A5" s="15"/>
      <c r="B5" s="15"/>
      <c r="C5" s="15"/>
      <c r="D5" s="15"/>
      <c r="E5" s="15"/>
      <c r="F5" s="15"/>
      <c r="G5" s="15"/>
      <c r="H5" s="15"/>
    </row>
    <row r="7" spans="1:8" ht="17.25" customHeight="1" x14ac:dyDescent="0.3">
      <c r="A7" s="19" t="s">
        <v>62</v>
      </c>
      <c r="B7" s="15"/>
      <c r="C7" s="15"/>
      <c r="D7" s="15"/>
      <c r="E7" s="15"/>
      <c r="F7" s="15"/>
    </row>
    <row r="8" spans="1:8" x14ac:dyDescent="0.25">
      <c r="A8" s="1" t="s">
        <v>63</v>
      </c>
      <c r="B8" s="1" t="s">
        <v>64</v>
      </c>
      <c r="C8" s="1"/>
      <c r="D8" s="1"/>
      <c r="E8" s="1" t="s">
        <v>65</v>
      </c>
      <c r="F8" s="1" t="s">
        <v>66</v>
      </c>
    </row>
    <row r="9" spans="1:8" x14ac:dyDescent="0.25">
      <c r="A9" s="2" t="str">
        <f>Certifications!A2</f>
        <v>Protección Contra Caídas</v>
      </c>
      <c r="B9" s="2" t="str">
        <f>Certifications!B2</f>
        <v>HSE Required</v>
      </c>
      <c r="C9" s="2">
        <f>IFERROR(COUNTA(INDEX(Tracker!$C$3:$AZ$200,0,MATCH($A9,Tracker!$C$2:$AZ$2,0))),0)</f>
        <v>24</v>
      </c>
      <c r="D9" s="2">
        <f>COUNTA(Workers!A$2:A$200)-C9</f>
        <v>9</v>
      </c>
      <c r="E9" s="3">
        <f t="shared" ref="E9:E32" si="0">IFERROR(C9/(C9+D9),0)</f>
        <v>0.72727272727272729</v>
      </c>
      <c r="F9" s="4" t="str">
        <f t="shared" ref="F9:F32" si="1">REPT("■",ROUND(E9*20,0))</f>
        <v>■■■■■■■■■■■■■■■</v>
      </c>
    </row>
    <row r="10" spans="1:8" x14ac:dyDescent="0.25">
      <c r="A10" s="2" t="str">
        <f>Certifications!A3</f>
        <v>Flama Expuesta</v>
      </c>
      <c r="B10" s="2" t="str">
        <f>Certifications!B3</f>
        <v>HSE Required</v>
      </c>
      <c r="C10" s="2">
        <f>IFERROR(COUNTA(INDEX(Tracker!$C$3:$AZ$200,0,MATCH($A10,Tracker!$C$2:$AZ$2,0))),0)</f>
        <v>16</v>
      </c>
      <c r="D10" s="2">
        <f>COUNTA(Workers!A$2:A$200)-C10</f>
        <v>17</v>
      </c>
      <c r="E10" s="3">
        <f t="shared" si="0"/>
        <v>0.48484848484848486</v>
      </c>
      <c r="F10" s="4" t="str">
        <f t="shared" si="1"/>
        <v>■■■■■■■■■■</v>
      </c>
    </row>
    <row r="11" spans="1:8" x14ac:dyDescent="0.25">
      <c r="A11" s="2" t="str">
        <f>Certifications!A4</f>
        <v>Espacios Confinados</v>
      </c>
      <c r="B11" s="2" t="str">
        <f>Certifications!B4</f>
        <v>HSE Required</v>
      </c>
      <c r="C11" s="2">
        <f>IFERROR(COUNTA(INDEX(Tracker!$C$3:$AZ$200,0,MATCH($A11,Tracker!$C$2:$AZ$2,0))),0)</f>
        <v>18</v>
      </c>
      <c r="D11" s="2">
        <f>COUNTA(Workers!A$2:A$200)-C11</f>
        <v>15</v>
      </c>
      <c r="E11" s="3">
        <f t="shared" si="0"/>
        <v>0.54545454545454541</v>
      </c>
      <c r="F11" s="4" t="str">
        <f t="shared" si="1"/>
        <v>■■■■■■■■■■■</v>
      </c>
    </row>
    <row r="12" spans="1:8" x14ac:dyDescent="0.25">
      <c r="A12" s="2" t="str">
        <f>Certifications!A5</f>
        <v>Manejo de Equipo Motorizado</v>
      </c>
      <c r="B12" s="2" t="str">
        <f>Certifications!B5</f>
        <v>HSE Required</v>
      </c>
      <c r="C12" s="2">
        <f>IFERROR(COUNTA(INDEX(Tracker!$C$3:$AZ$200,0,MATCH($A12,Tracker!$C$2:$AZ$2,0))),0)</f>
        <v>16</v>
      </c>
      <c r="D12" s="2">
        <f>COUNTA(Workers!A$2:A$200)-C12</f>
        <v>17</v>
      </c>
      <c r="E12" s="3">
        <f t="shared" si="0"/>
        <v>0.48484848484848486</v>
      </c>
      <c r="F12" s="4" t="str">
        <f t="shared" si="1"/>
        <v>■■■■■■■■■■</v>
      </c>
    </row>
    <row r="13" spans="1:8" x14ac:dyDescent="0.25">
      <c r="A13" s="2" t="str">
        <f>Certifications!A6</f>
        <v>Excavación o Zanja</v>
      </c>
      <c r="B13" s="2" t="str">
        <f>Certifications!B6</f>
        <v>HSE Required</v>
      </c>
      <c r="C13" s="2">
        <f>IFERROR(COUNTA(INDEX(Tracker!$C$3:$AZ$200,0,MATCH($A13,Tracker!$C$2:$AZ$2,0))),0)</f>
        <v>14</v>
      </c>
      <c r="D13" s="2">
        <f>COUNTA(Workers!A$2:A$200)-C13</f>
        <v>19</v>
      </c>
      <c r="E13" s="3">
        <f t="shared" si="0"/>
        <v>0.42424242424242425</v>
      </c>
      <c r="F13" s="4" t="str">
        <f t="shared" si="1"/>
        <v>■■■■■■■■</v>
      </c>
    </row>
    <row r="14" spans="1:8" x14ac:dyDescent="0.25">
      <c r="A14" s="2" t="str">
        <f>Certifications!A7</f>
        <v>Manejo de Tijeras (Scissor Lift)</v>
      </c>
      <c r="B14" s="2" t="str">
        <f>Certifications!B7</f>
        <v>HSE Required</v>
      </c>
      <c r="C14" s="2">
        <f>IFERROR(COUNTA(INDEX(Tracker!$C$3:$AZ$200,0,MATCH($A14,Tracker!$C$2:$AZ$2,0))),0)</f>
        <v>19</v>
      </c>
      <c r="D14" s="2">
        <f>COUNTA(Workers!A$2:A$200)-C14</f>
        <v>14</v>
      </c>
      <c r="E14" s="3">
        <f t="shared" si="0"/>
        <v>0.5757575757575758</v>
      </c>
      <c r="F14" s="4" t="str">
        <f t="shared" si="1"/>
        <v>■■■■■■■■■■■■</v>
      </c>
    </row>
    <row r="15" spans="1:8" x14ac:dyDescent="0.25">
      <c r="A15" s="2" t="str">
        <f>Certifications!A8</f>
        <v>Seguridad Eléctrica</v>
      </c>
      <c r="B15" s="2" t="str">
        <f>Certifications!B8</f>
        <v>HSE Required</v>
      </c>
      <c r="C15" s="2">
        <f>IFERROR(COUNTA(INDEX(Tracker!$C$3:$AZ$200,0,MATCH($A15,Tracker!$C$2:$AZ$2,0))),0)</f>
        <v>22</v>
      </c>
      <c r="D15" s="2">
        <f>COUNTA(Workers!A$2:A$200)-C15</f>
        <v>11</v>
      </c>
      <c r="E15" s="3">
        <f t="shared" si="0"/>
        <v>0.66666666666666663</v>
      </c>
      <c r="F15" s="4" t="str">
        <f t="shared" si="1"/>
        <v>■■■■■■■■■■■■■</v>
      </c>
    </row>
    <row r="16" spans="1:8" x14ac:dyDescent="0.25">
      <c r="A16" s="2" t="str">
        <f>Certifications!A9</f>
        <v>Lockout</v>
      </c>
      <c r="B16" s="2" t="str">
        <f>Certifications!B9</f>
        <v>HSE Required</v>
      </c>
      <c r="C16" s="2">
        <f>IFERROR(COUNTA(INDEX(Tracker!$C$3:$AZ$200,0,MATCH($A16,Tracker!$C$2:$AZ$2,0))),0)</f>
        <v>19</v>
      </c>
      <c r="D16" s="2">
        <f>COUNTA(Workers!A$2:A$200)-C16</f>
        <v>14</v>
      </c>
      <c r="E16" s="3">
        <f t="shared" si="0"/>
        <v>0.5757575757575758</v>
      </c>
      <c r="F16" s="4" t="str">
        <f t="shared" si="1"/>
        <v>■■■■■■■■■■■■</v>
      </c>
    </row>
    <row r="17" spans="1:6" x14ac:dyDescent="0.25">
      <c r="A17" s="2" t="str">
        <f>Certifications!A10</f>
        <v>Manejo de Grúas</v>
      </c>
      <c r="B17" s="2" t="str">
        <f>Certifications!B10</f>
        <v>HSE Required</v>
      </c>
      <c r="C17" s="2">
        <f>IFERROR(COUNTA(INDEX(Tracker!$C$3:$AZ$200,0,MATCH($A17,Tracker!$C$2:$AZ$2,0))),0)</f>
        <v>12</v>
      </c>
      <c r="D17" s="2">
        <f>COUNTA(Workers!A$2:A$200)-C17</f>
        <v>21</v>
      </c>
      <c r="E17" s="3">
        <f t="shared" si="0"/>
        <v>0.36363636363636365</v>
      </c>
      <c r="F17" s="4" t="str">
        <f t="shared" si="1"/>
        <v>■■■■■■■</v>
      </c>
    </row>
    <row r="18" spans="1:6" x14ac:dyDescent="0.25">
      <c r="A18" s="2" t="str">
        <f>Certifications!A11</f>
        <v>Escaleras</v>
      </c>
      <c r="B18" s="2" t="str">
        <f>Certifications!B11</f>
        <v>HSE Required</v>
      </c>
      <c r="C18" s="2">
        <f>IFERROR(COUNTA(INDEX(Tracker!$C$3:$AZ$200,0,MATCH($A18,Tracker!$C$2:$AZ$2,0))),0)</f>
        <v>15</v>
      </c>
      <c r="D18" s="2">
        <f>COUNTA(Workers!A$2:A$200)-C18</f>
        <v>18</v>
      </c>
      <c r="E18" s="3">
        <f t="shared" si="0"/>
        <v>0.45454545454545453</v>
      </c>
      <c r="F18" s="4" t="str">
        <f t="shared" si="1"/>
        <v>■■■■■■■■■</v>
      </c>
    </row>
    <row r="19" spans="1:6" x14ac:dyDescent="0.25">
      <c r="A19" s="2" t="str">
        <f>Certifications!A12</f>
        <v>Andamios</v>
      </c>
      <c r="B19" s="2" t="str">
        <f>Certifications!B12</f>
        <v>HSE Required</v>
      </c>
      <c r="C19" s="2">
        <f>IFERROR(COUNTA(INDEX(Tracker!$C$3:$AZ$200,0,MATCH($A19,Tracker!$C$2:$AZ$2,0))),0)</f>
        <v>12</v>
      </c>
      <c r="D19" s="2">
        <f>COUNTA(Workers!A$2:A$200)-C19</f>
        <v>21</v>
      </c>
      <c r="E19" s="3">
        <f t="shared" si="0"/>
        <v>0.36363636363636365</v>
      </c>
      <c r="F19" s="4" t="str">
        <f t="shared" si="1"/>
        <v>■■■■■■■</v>
      </c>
    </row>
    <row r="20" spans="1:6" x14ac:dyDescent="0.25">
      <c r="A20" s="2" t="str">
        <f>Certifications!A13</f>
        <v>Trabajos con Plomo o Asbesto</v>
      </c>
      <c r="B20" s="2" t="str">
        <f>Certifications!B13</f>
        <v>HSE Required</v>
      </c>
      <c r="C20" s="2">
        <f>IFERROR(COUNTA(INDEX(Tracker!$C$3:$AZ$200,0,MATCH($A20,Tracker!$C$2:$AZ$2,0))),0)</f>
        <v>14</v>
      </c>
      <c r="D20" s="2">
        <f>COUNTA(Workers!A$2:A$200)-C20</f>
        <v>19</v>
      </c>
      <c r="E20" s="3">
        <f t="shared" si="0"/>
        <v>0.42424242424242425</v>
      </c>
      <c r="F20" s="4" t="str">
        <f t="shared" si="1"/>
        <v>■■■■■■■■</v>
      </c>
    </row>
    <row r="21" spans="1:6" x14ac:dyDescent="0.25">
      <c r="A21" s="2" t="str">
        <f>Certifications!A14</f>
        <v>Comunicación de Riesgos</v>
      </c>
      <c r="B21" s="2" t="str">
        <f>Certifications!B14</f>
        <v>HSE Required</v>
      </c>
      <c r="C21" s="2">
        <f>IFERROR(COUNTA(INDEX(Tracker!$C$3:$AZ$200,0,MATCH($A21,Tracker!$C$2:$AZ$2,0))),0)</f>
        <v>22</v>
      </c>
      <c r="D21" s="2">
        <f>COUNTA(Workers!A$2:A$200)-C21</f>
        <v>11</v>
      </c>
      <c r="E21" s="3">
        <f t="shared" si="0"/>
        <v>0.66666666666666663</v>
      </c>
      <c r="F21" s="4" t="str">
        <f t="shared" si="1"/>
        <v>■■■■■■■■■■■■■</v>
      </c>
    </row>
    <row r="22" spans="1:6" x14ac:dyDescent="0.25">
      <c r="A22" s="2" t="str">
        <f>Certifications!A15</f>
        <v>Inducción Jacobs/Lilly</v>
      </c>
      <c r="B22" s="2" t="str">
        <f>Certifications!B15</f>
        <v>Additional Training</v>
      </c>
      <c r="C22" s="2">
        <f>IFERROR(COUNTA(INDEX(Tracker!$C$3:$AZ$200,0,MATCH($A22,Tracker!$C$2:$AZ$2,0))),0)</f>
        <v>24</v>
      </c>
      <c r="D22" s="2">
        <f>COUNTA(Workers!A$2:A$200)-C22</f>
        <v>9</v>
      </c>
      <c r="E22" s="3">
        <f t="shared" si="0"/>
        <v>0.72727272727272729</v>
      </c>
      <c r="F22" s="4" t="str">
        <f t="shared" si="1"/>
        <v>■■■■■■■■■■■■■■■</v>
      </c>
    </row>
    <row r="23" spans="1:6" x14ac:dyDescent="0.25">
      <c r="A23" s="2" t="str">
        <f>Certifications!A16</f>
        <v>OSHA 40Hr HAZWOPER</v>
      </c>
      <c r="B23" s="2" t="str">
        <f>Certifications!B16</f>
        <v>Additional Training</v>
      </c>
      <c r="C23" s="2">
        <f>IFERROR(COUNTA(INDEX(Tracker!$C$3:$AZ$200,0,MATCH($A23,Tracker!$C$2:$AZ$2,0))),0)</f>
        <v>11</v>
      </c>
      <c r="D23" s="2">
        <f>COUNTA(Workers!A$2:A$200)-C23</f>
        <v>22</v>
      </c>
      <c r="E23" s="3">
        <f t="shared" si="0"/>
        <v>0.33333333333333331</v>
      </c>
      <c r="F23" s="4" t="str">
        <f t="shared" si="1"/>
        <v>■■■■■■■</v>
      </c>
    </row>
    <row r="24" spans="1:6" x14ac:dyDescent="0.25">
      <c r="A24" s="2" t="str">
        <f>Certifications!A17</f>
        <v>OSHA 8Hr Refresher</v>
      </c>
      <c r="B24" s="2" t="str">
        <f>Certifications!B17</f>
        <v>Additional Training</v>
      </c>
      <c r="C24" s="2">
        <f>IFERROR(COUNTA(INDEX(Tracker!$C$3:$AZ$200,0,MATCH($A24,Tracker!$C$2:$AZ$2,0))),0)</f>
        <v>15</v>
      </c>
      <c r="D24" s="2">
        <f>COUNTA(Workers!A$2:A$200)-C24</f>
        <v>18</v>
      </c>
      <c r="E24" s="3">
        <f t="shared" si="0"/>
        <v>0.45454545454545453</v>
      </c>
      <c r="F24" s="4" t="str">
        <f t="shared" si="1"/>
        <v>■■■■■■■■■</v>
      </c>
    </row>
    <row r="25" spans="1:6" x14ac:dyDescent="0.25">
      <c r="A25" s="2" t="str">
        <f>Certifications!A18</f>
        <v>Drilling Safety</v>
      </c>
      <c r="B25" s="2" t="str">
        <f>Certifications!B18</f>
        <v>Additional Training</v>
      </c>
      <c r="C25" s="2">
        <f>IFERROR(COUNTA(INDEX(Tracker!$C$3:$AZ$200,0,MATCH($A25,Tracker!$C$2:$AZ$2,0))),0)</f>
        <v>10</v>
      </c>
      <c r="D25" s="2">
        <f>COUNTA(Workers!A$2:A$200)-C25</f>
        <v>23</v>
      </c>
      <c r="E25" s="3">
        <f t="shared" si="0"/>
        <v>0.30303030303030304</v>
      </c>
      <c r="F25" s="4" t="str">
        <f t="shared" si="1"/>
        <v>■■■■■■</v>
      </c>
    </row>
    <row r="26" spans="1:6" x14ac:dyDescent="0.25">
      <c r="A26" s="2" t="str">
        <f>Certifications!A19</f>
        <v>Utility Locating</v>
      </c>
      <c r="B26" s="2" t="str">
        <f>Certifications!B19</f>
        <v>Additional Training</v>
      </c>
      <c r="C26" s="2">
        <f>IFERROR(COUNTA(INDEX(Tracker!$C$3:$AZ$200,0,MATCH($A26,Tracker!$C$2:$AZ$2,0))),0)</f>
        <v>10</v>
      </c>
      <c r="D26" s="2">
        <f>COUNTA(Workers!A$2:A$200)-C26</f>
        <v>23</v>
      </c>
      <c r="E26" s="3">
        <f t="shared" si="0"/>
        <v>0.30303030303030304</v>
      </c>
      <c r="F26" s="4" t="str">
        <f t="shared" si="1"/>
        <v>■■■■■■</v>
      </c>
    </row>
    <row r="27" spans="1:6" x14ac:dyDescent="0.25">
      <c r="A27" s="11" t="str">
        <f>Certifications!A20</f>
        <v>OSHA 10</v>
      </c>
      <c r="B27" s="11" t="str">
        <f>Certifications!B20</f>
        <v>Additional Training</v>
      </c>
      <c r="C27" s="11">
        <f>IFERROR(COUNTA(INDEX(Tracker!$C$3:$AZ$200,0,MATCH($A27,Tracker!$C$2:$AZ$2,0))),0)</f>
        <v>15</v>
      </c>
      <c r="D27" s="11">
        <f>COUNTA(Workers!A$2:A$200)-C27</f>
        <v>18</v>
      </c>
      <c r="E27" s="12">
        <f t="shared" si="0"/>
        <v>0.45454545454545453</v>
      </c>
      <c r="F27" s="13" t="str">
        <f t="shared" si="1"/>
        <v>■■■■■■■■■</v>
      </c>
    </row>
    <row r="28" spans="1:6" x14ac:dyDescent="0.25">
      <c r="A28" s="11" t="str">
        <f>Certifications!A21</f>
        <v>OSHA 30</v>
      </c>
      <c r="B28" s="11" t="str">
        <f>Certifications!B21</f>
        <v>Additional Training</v>
      </c>
      <c r="C28" s="11">
        <f>IFERROR(COUNTA(INDEX(Tracker!$C$3:$AZ$200,0,MATCH($A28,Tracker!$C$2:$AZ$2,0))),0)</f>
        <v>12</v>
      </c>
      <c r="D28" s="11">
        <f>COUNTA(Workers!A$2:A$200)-C28</f>
        <v>21</v>
      </c>
      <c r="E28" s="12">
        <f t="shared" si="0"/>
        <v>0.36363636363636365</v>
      </c>
      <c r="F28" s="13" t="str">
        <f t="shared" si="1"/>
        <v>■■■■■■■</v>
      </c>
    </row>
    <row r="29" spans="1:6" x14ac:dyDescent="0.25">
      <c r="A29" s="11" t="str">
        <f>Certifications!A22</f>
        <v>Rebar Safety</v>
      </c>
      <c r="B29" s="11" t="str">
        <f>Certifications!B22</f>
        <v>Additional Training</v>
      </c>
      <c r="C29" s="11">
        <f>IFERROR(COUNTA(INDEX(Tracker!$C$3:$AZ$200,0,MATCH($A29,Tracker!$C$2:$AZ$2,0))),0)</f>
        <v>10</v>
      </c>
      <c r="D29" s="11">
        <f>COUNTA(Workers!A$2:A$200)-C29</f>
        <v>23</v>
      </c>
      <c r="E29" s="12">
        <f t="shared" si="0"/>
        <v>0.30303030303030304</v>
      </c>
      <c r="F29" s="13" t="str">
        <f t="shared" si="1"/>
        <v>■■■■■■</v>
      </c>
    </row>
    <row r="30" spans="1:6" x14ac:dyDescent="0.25">
      <c r="A30" s="11" t="str">
        <f>Certifications!A23</f>
        <v>Formwork &amp; Shoring</v>
      </c>
      <c r="B30" s="11" t="str">
        <f>Certifications!B23</f>
        <v>Additional Training</v>
      </c>
      <c r="C30" s="11">
        <f>IFERROR(COUNTA(INDEX(Tracker!$C$3:$AZ$200,0,MATCH($A30,Tracker!$C$2:$AZ$2,0))),0)</f>
        <v>8</v>
      </c>
      <c r="D30" s="11">
        <f>COUNTA(Workers!A$2:A$200)-C30</f>
        <v>25</v>
      </c>
      <c r="E30" s="12">
        <f t="shared" si="0"/>
        <v>0.24242424242424243</v>
      </c>
      <c r="F30" s="13" t="str">
        <f t="shared" si="1"/>
        <v>■■■■■</v>
      </c>
    </row>
    <row r="31" spans="1:6" x14ac:dyDescent="0.25">
      <c r="A31" s="11" t="str">
        <f>Certifications!A24</f>
        <v>Silica Exposure</v>
      </c>
      <c r="B31" s="11" t="str">
        <f>Certifications!B24</f>
        <v>Additional Training</v>
      </c>
      <c r="C31" s="11">
        <f>IFERROR(COUNTA(INDEX(Tracker!$C$3:$AZ$200,0,MATCH($A31,Tracker!$C$2:$AZ$2,0))),0)</f>
        <v>11</v>
      </c>
      <c r="D31" s="11">
        <f>COUNTA(Workers!A$2:A$200)-C31</f>
        <v>22</v>
      </c>
      <c r="E31" s="12">
        <f t="shared" si="0"/>
        <v>0.33333333333333331</v>
      </c>
      <c r="F31" s="13" t="str">
        <f t="shared" si="1"/>
        <v>■■■■■■■</v>
      </c>
    </row>
    <row r="32" spans="1:6" x14ac:dyDescent="0.25">
      <c r="A32" s="11" t="str">
        <f>Certifications!A25</f>
        <v>Concrete &amp; Masonry</v>
      </c>
      <c r="B32" s="11" t="str">
        <f>Certifications!B25</f>
        <v>Additional Training</v>
      </c>
      <c r="C32" s="11">
        <f>IFERROR(COUNTA(INDEX(Tracker!$C$3:$AZ$200,0,MATCH($A32,Tracker!$C$2:$AZ$2,0))),0)</f>
        <v>11</v>
      </c>
      <c r="D32" s="11">
        <f>COUNTA(Workers!A$2:A$200)-C32</f>
        <v>22</v>
      </c>
      <c r="E32" s="12">
        <f t="shared" si="0"/>
        <v>0.33333333333333331</v>
      </c>
      <c r="F32" s="13" t="str">
        <f t="shared" si="1"/>
        <v>■■■■■■■</v>
      </c>
    </row>
  </sheetData>
  <mergeCells count="10">
    <mergeCell ref="C4:D5"/>
    <mergeCell ref="A4:B5"/>
    <mergeCell ref="G4:H5"/>
    <mergeCell ref="E4:F5"/>
    <mergeCell ref="A7:F7"/>
    <mergeCell ref="A1:F1"/>
    <mergeCell ref="C3:D3"/>
    <mergeCell ref="A3:B3"/>
    <mergeCell ref="G3:H3"/>
    <mergeCell ref="E3:F3"/>
  </mergeCells>
  <conditionalFormatting sqref="E9:E26">
    <cfRule type="cellIs" dxfId="5" priority="1" operator="lessThan">
      <formula>0.7</formula>
    </cfRule>
    <cfRule type="cellIs" dxfId="4" priority="2" operator="between">
      <formula>0.7</formula>
      <formula>0.9</formula>
    </cfRule>
    <cfRule type="cellIs" dxfId="3" priority="3" operator="greaterThanOrEqual">
      <formula>0.9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"/>
  <sheetViews>
    <sheetView showGridLines="0" workbookViewId="0">
      <pane ySplit="1" topLeftCell="A2" activePane="bottomLeft" state="frozen"/>
      <selection pane="bottomLeft" activeCell="J15" sqref="J15"/>
    </sheetView>
  </sheetViews>
  <sheetFormatPr defaultRowHeight="15" x14ac:dyDescent="0.25"/>
  <cols>
    <col min="1" max="1" width="38" customWidth="1"/>
    <col min="2" max="2" width="18.140625" bestFit="1" customWidth="1"/>
    <col min="3" max="3" width="22" customWidth="1"/>
    <col min="4" max="4" width="38" customWidth="1"/>
  </cols>
  <sheetData>
    <row r="1" spans="1:4" ht="30" customHeight="1" x14ac:dyDescent="0.25">
      <c r="A1" s="1" t="s">
        <v>63</v>
      </c>
      <c r="B1" s="1" t="s">
        <v>64</v>
      </c>
      <c r="C1" s="1" t="s">
        <v>67</v>
      </c>
      <c r="D1" s="1" t="s">
        <v>4</v>
      </c>
    </row>
    <row r="2" spans="1:4" x14ac:dyDescent="0.25">
      <c r="A2" t="s">
        <v>68</v>
      </c>
      <c r="B2" t="s">
        <v>69</v>
      </c>
      <c r="C2">
        <v>1</v>
      </c>
    </row>
    <row r="3" spans="1:4" x14ac:dyDescent="0.25">
      <c r="A3" t="s">
        <v>70</v>
      </c>
      <c r="B3" t="s">
        <v>69</v>
      </c>
      <c r="C3">
        <v>1</v>
      </c>
    </row>
    <row r="4" spans="1:4" x14ac:dyDescent="0.25">
      <c r="A4" t="s">
        <v>71</v>
      </c>
      <c r="B4" t="s">
        <v>69</v>
      </c>
      <c r="C4">
        <v>1</v>
      </c>
    </row>
    <row r="5" spans="1:4" x14ac:dyDescent="0.25">
      <c r="A5" t="s">
        <v>72</v>
      </c>
      <c r="B5" t="s">
        <v>69</v>
      </c>
      <c r="C5">
        <v>3</v>
      </c>
    </row>
    <row r="6" spans="1:4" x14ac:dyDescent="0.25">
      <c r="A6" t="s">
        <v>73</v>
      </c>
      <c r="B6" t="s">
        <v>69</v>
      </c>
      <c r="C6">
        <v>1</v>
      </c>
    </row>
    <row r="7" spans="1:4" x14ac:dyDescent="0.25">
      <c r="A7" t="s">
        <v>74</v>
      </c>
      <c r="B7" t="s">
        <v>69</v>
      </c>
      <c r="C7">
        <v>3</v>
      </c>
    </row>
    <row r="8" spans="1:4" x14ac:dyDescent="0.25">
      <c r="A8" t="s">
        <v>75</v>
      </c>
      <c r="B8" t="s">
        <v>69</v>
      </c>
      <c r="C8">
        <v>1</v>
      </c>
    </row>
    <row r="9" spans="1:4" x14ac:dyDescent="0.25">
      <c r="A9" t="s">
        <v>76</v>
      </c>
      <c r="B9" t="s">
        <v>69</v>
      </c>
      <c r="C9">
        <v>1</v>
      </c>
    </row>
    <row r="10" spans="1:4" x14ac:dyDescent="0.25">
      <c r="A10" t="s">
        <v>77</v>
      </c>
      <c r="B10" t="s">
        <v>69</v>
      </c>
      <c r="C10">
        <v>3</v>
      </c>
    </row>
    <row r="11" spans="1:4" x14ac:dyDescent="0.25">
      <c r="A11" t="s">
        <v>78</v>
      </c>
      <c r="B11" t="s">
        <v>69</v>
      </c>
      <c r="C11">
        <v>3</v>
      </c>
    </row>
    <row r="12" spans="1:4" x14ac:dyDescent="0.25">
      <c r="A12" t="s">
        <v>79</v>
      </c>
      <c r="B12" t="s">
        <v>69</v>
      </c>
      <c r="C12">
        <v>3</v>
      </c>
    </row>
    <row r="13" spans="1:4" x14ac:dyDescent="0.25">
      <c r="A13" t="s">
        <v>80</v>
      </c>
      <c r="B13" t="s">
        <v>69</v>
      </c>
      <c r="C13">
        <v>1</v>
      </c>
    </row>
    <row r="14" spans="1:4" x14ac:dyDescent="0.25">
      <c r="A14" t="s">
        <v>81</v>
      </c>
      <c r="B14" t="s">
        <v>69</v>
      </c>
      <c r="C14">
        <v>1</v>
      </c>
    </row>
    <row r="15" spans="1:4" x14ac:dyDescent="0.25">
      <c r="A15" t="s">
        <v>82</v>
      </c>
      <c r="B15" t="s">
        <v>83</v>
      </c>
      <c r="C15">
        <v>1</v>
      </c>
    </row>
    <row r="16" spans="1:4" x14ac:dyDescent="0.25">
      <c r="A16" t="s">
        <v>84</v>
      </c>
      <c r="B16" t="s">
        <v>83</v>
      </c>
      <c r="C16">
        <v>0</v>
      </c>
    </row>
    <row r="17" spans="1:3" x14ac:dyDescent="0.25">
      <c r="A17" t="s">
        <v>85</v>
      </c>
      <c r="B17" t="s">
        <v>83</v>
      </c>
      <c r="C17">
        <v>1</v>
      </c>
    </row>
    <row r="18" spans="1:3" x14ac:dyDescent="0.25">
      <c r="A18" t="s">
        <v>86</v>
      </c>
      <c r="B18" t="s">
        <v>83</v>
      </c>
      <c r="C18">
        <v>3</v>
      </c>
    </row>
    <row r="19" spans="1:3" x14ac:dyDescent="0.25">
      <c r="A19" t="s">
        <v>87</v>
      </c>
      <c r="B19" t="s">
        <v>83</v>
      </c>
      <c r="C19">
        <v>1</v>
      </c>
    </row>
    <row r="20" spans="1:3" x14ac:dyDescent="0.25">
      <c r="A20" t="s">
        <v>88</v>
      </c>
      <c r="B20" t="s">
        <v>83</v>
      </c>
      <c r="C20">
        <v>0</v>
      </c>
    </row>
    <row r="21" spans="1:3" x14ac:dyDescent="0.25">
      <c r="A21" t="s">
        <v>89</v>
      </c>
      <c r="B21" t="s">
        <v>83</v>
      </c>
      <c r="C21">
        <v>0</v>
      </c>
    </row>
    <row r="22" spans="1:3" x14ac:dyDescent="0.25">
      <c r="A22" t="s">
        <v>90</v>
      </c>
      <c r="B22" t="s">
        <v>83</v>
      </c>
      <c r="C22">
        <v>0</v>
      </c>
    </row>
    <row r="23" spans="1:3" x14ac:dyDescent="0.25">
      <c r="A23" t="s">
        <v>91</v>
      </c>
      <c r="B23" t="s">
        <v>83</v>
      </c>
      <c r="C23">
        <v>0</v>
      </c>
    </row>
    <row r="24" spans="1:3" x14ac:dyDescent="0.25">
      <c r="A24" t="s">
        <v>92</v>
      </c>
      <c r="B24" t="s">
        <v>83</v>
      </c>
      <c r="C24">
        <v>0</v>
      </c>
    </row>
    <row r="25" spans="1:3" x14ac:dyDescent="0.25">
      <c r="A25" t="s">
        <v>93</v>
      </c>
      <c r="B25" t="s">
        <v>83</v>
      </c>
      <c r="C25">
        <v>0</v>
      </c>
    </row>
  </sheetData>
  <dataValidations disablePrompts="1" count="1">
    <dataValidation type="list" allowBlank="1" sqref="B2:B60" xr:uid="{00000000-0002-0000-0200-000000000000}">
      <formula1>"HSE Required,Additional Training"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0"/>
  <sheetViews>
    <sheetView showGridLines="0" workbookViewId="0">
      <pane ySplit="1" topLeftCell="A2" activePane="bottomLeft" state="frozen"/>
      <selection pane="bottomLeft" activeCell="E4" sqref="A2:E4"/>
    </sheetView>
  </sheetViews>
  <sheetFormatPr defaultRowHeight="15" x14ac:dyDescent="0.25"/>
  <cols>
    <col min="1" max="1" width="32" customWidth="1"/>
    <col min="2" max="2" width="33" customWidth="1"/>
    <col min="3" max="3" width="28" customWidth="1"/>
    <col min="4" max="4" width="20.140625" bestFit="1" customWidth="1"/>
    <col min="5" max="5" width="4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f>IF(A2="","",COUNTIF(Workers!B:B,A2))</f>
        <v>4</v>
      </c>
    </row>
    <row r="3" spans="1:5" x14ac:dyDescent="0.25">
      <c r="A3" t="s">
        <v>8</v>
      </c>
      <c r="B3" t="s">
        <v>9</v>
      </c>
      <c r="C3" t="s">
        <v>10</v>
      </c>
      <c r="D3">
        <f>IF(A3="","",COUNTIF(Workers!B:B,A3))</f>
        <v>3</v>
      </c>
    </row>
    <row r="4" spans="1:5" x14ac:dyDescent="0.25">
      <c r="A4" t="s">
        <v>11</v>
      </c>
      <c r="B4" t="s">
        <v>12</v>
      </c>
      <c r="C4" t="s">
        <v>13</v>
      </c>
      <c r="D4">
        <f>IF(A4="","",COUNTIF(Workers!B:B,A4))</f>
        <v>3</v>
      </c>
    </row>
    <row r="5" spans="1:5" x14ac:dyDescent="0.25">
      <c r="A5" t="s">
        <v>14</v>
      </c>
      <c r="B5" t="s">
        <v>15</v>
      </c>
      <c r="C5" t="s">
        <v>16</v>
      </c>
      <c r="D5">
        <f>IF(A5="","",COUNTIF(Workers!B:B,A5))</f>
        <v>3</v>
      </c>
    </row>
    <row r="6" spans="1:5" x14ac:dyDescent="0.25">
      <c r="A6" t="s">
        <v>17</v>
      </c>
      <c r="B6" t="s">
        <v>18</v>
      </c>
      <c r="C6" t="s">
        <v>19</v>
      </c>
      <c r="D6">
        <f>IF(A6="","",COUNTIF(Workers!B:B,A6))</f>
        <v>3</v>
      </c>
    </row>
    <row r="7" spans="1:5" x14ac:dyDescent="0.25">
      <c r="A7" t="s">
        <v>20</v>
      </c>
      <c r="B7" t="s">
        <v>21</v>
      </c>
      <c r="C7" t="s">
        <v>22</v>
      </c>
      <c r="D7">
        <f>IF(A7="","",COUNTIF(Workers!B:B,A7))</f>
        <v>3</v>
      </c>
      <c r="E7" t="s">
        <v>23</v>
      </c>
    </row>
    <row r="8" spans="1:5" x14ac:dyDescent="0.25">
      <c r="A8" t="s">
        <v>24</v>
      </c>
      <c r="B8" t="s">
        <v>25</v>
      </c>
      <c r="C8" t="s">
        <v>26</v>
      </c>
      <c r="D8">
        <f>IF(A8="","",COUNTIF(Workers!B:B,A8))</f>
        <v>3</v>
      </c>
      <c r="E8" t="s">
        <v>23</v>
      </c>
    </row>
    <row r="9" spans="1:5" x14ac:dyDescent="0.25">
      <c r="A9" t="s">
        <v>27</v>
      </c>
      <c r="B9" t="s">
        <v>28</v>
      </c>
      <c r="C9" t="s">
        <v>29</v>
      </c>
      <c r="D9">
        <f>IF(A9="","",COUNTIF(Workers!B:B,A9))</f>
        <v>3</v>
      </c>
      <c r="E9" t="s">
        <v>23</v>
      </c>
    </row>
    <row r="10" spans="1:5" x14ac:dyDescent="0.25">
      <c r="A10" t="s">
        <v>30</v>
      </c>
      <c r="B10" t="s">
        <v>31</v>
      </c>
      <c r="C10" t="s">
        <v>32</v>
      </c>
      <c r="D10">
        <f>IF(A10="","",COUNTIF(Workers!B:B,A10))</f>
        <v>2</v>
      </c>
      <c r="E10" t="s">
        <v>23</v>
      </c>
    </row>
    <row r="11" spans="1:5" x14ac:dyDescent="0.25">
      <c r="A11" t="s">
        <v>33</v>
      </c>
      <c r="B11" t="s">
        <v>34</v>
      </c>
      <c r="C11" t="s">
        <v>35</v>
      </c>
      <c r="D11">
        <f>IF(A11="","",COUNTIF(Workers!B:B,A11))</f>
        <v>2</v>
      </c>
      <c r="E11" t="s">
        <v>23</v>
      </c>
    </row>
    <row r="12" spans="1:5" x14ac:dyDescent="0.25">
      <c r="A12" t="s">
        <v>36</v>
      </c>
      <c r="B12" t="s">
        <v>37</v>
      </c>
      <c r="C12" t="s">
        <v>38</v>
      </c>
      <c r="D12">
        <f>IF(A12="","",COUNTIF(Workers!B:B,A12))</f>
        <v>2</v>
      </c>
      <c r="E12" t="s">
        <v>23</v>
      </c>
    </row>
    <row r="13" spans="1:5" x14ac:dyDescent="0.25">
      <c r="A13" t="s">
        <v>39</v>
      </c>
      <c r="D13">
        <f>IF(A13="","",COUNTIF(Workers!B:B,A13))</f>
        <v>2</v>
      </c>
    </row>
    <row r="14" spans="1:5" x14ac:dyDescent="0.25">
      <c r="D14" t="str">
        <f>IF(A14="","",COUNTIF(Workers!B:B,A14))</f>
        <v/>
      </c>
    </row>
    <row r="15" spans="1:5" x14ac:dyDescent="0.25">
      <c r="D15" t="str">
        <f>IF(A15="","",COUNTIF(Workers!B:B,A15))</f>
        <v/>
      </c>
    </row>
    <row r="16" spans="1:5" x14ac:dyDescent="0.25">
      <c r="D16" t="str">
        <f>IF(A16="","",COUNTIF(Workers!B:B,A16))</f>
        <v/>
      </c>
    </row>
    <row r="17" spans="4:4" x14ac:dyDescent="0.25">
      <c r="D17" t="str">
        <f>IF(A17="","",COUNTIF(Workers!B:B,A17))</f>
        <v/>
      </c>
    </row>
    <row r="18" spans="4:4" x14ac:dyDescent="0.25">
      <c r="D18" t="str">
        <f>IF(A18="","",COUNTIF(Workers!B:B,A18))</f>
        <v/>
      </c>
    </row>
    <row r="19" spans="4:4" x14ac:dyDescent="0.25">
      <c r="D19" t="str">
        <f>IF(A19="","",COUNTIF(Workers!B:B,A19))</f>
        <v/>
      </c>
    </row>
    <row r="20" spans="4:4" x14ac:dyDescent="0.25">
      <c r="D20" t="str">
        <f>IF(A20="","",COUNTIF(Workers!B:B,A20))</f>
        <v/>
      </c>
    </row>
    <row r="21" spans="4:4" x14ac:dyDescent="0.25">
      <c r="D21" t="str">
        <f>IF(A21="","",COUNTIF(Workers!B:B,A21))</f>
        <v/>
      </c>
    </row>
    <row r="22" spans="4:4" x14ac:dyDescent="0.25">
      <c r="D22" t="str">
        <f>IF(A22="","",COUNTIF(Workers!B:B,A22))</f>
        <v/>
      </c>
    </row>
    <row r="23" spans="4:4" x14ac:dyDescent="0.25">
      <c r="D23" t="str">
        <f>IF(A23="","",COUNTIF(Workers!B:B,A23))</f>
        <v/>
      </c>
    </row>
    <row r="24" spans="4:4" x14ac:dyDescent="0.25">
      <c r="D24" t="str">
        <f>IF(A24="","",COUNTIF(Workers!B:B,A24))</f>
        <v/>
      </c>
    </row>
    <row r="25" spans="4:4" x14ac:dyDescent="0.25">
      <c r="D25" t="str">
        <f>IF(A25="","",COUNTIF(Workers!B:B,A25))</f>
        <v/>
      </c>
    </row>
    <row r="26" spans="4:4" x14ac:dyDescent="0.25">
      <c r="D26" t="str">
        <f>IF(A26="","",COUNTIF(Workers!B:B,A26))</f>
        <v/>
      </c>
    </row>
    <row r="27" spans="4:4" x14ac:dyDescent="0.25">
      <c r="D27" t="str">
        <f>IF(A27="","",COUNTIF(Workers!B:B,A27))</f>
        <v/>
      </c>
    </row>
    <row r="28" spans="4:4" x14ac:dyDescent="0.25">
      <c r="D28" t="str">
        <f>IF(A28="","",COUNTIF(Workers!B:B,A28))</f>
        <v/>
      </c>
    </row>
    <row r="29" spans="4:4" x14ac:dyDescent="0.25">
      <c r="D29" t="str">
        <f>IF(A29="","",COUNTIF(Workers!B:B,A29))</f>
        <v/>
      </c>
    </row>
    <row r="30" spans="4:4" x14ac:dyDescent="0.25">
      <c r="D30" t="str">
        <f>IF(A30="","",COUNTIF(Workers!B:B,A30))</f>
        <v/>
      </c>
    </row>
    <row r="31" spans="4:4" x14ac:dyDescent="0.25">
      <c r="D31" t="str">
        <f>IF(A31="","",COUNTIF(Workers!B:B,A31))</f>
        <v/>
      </c>
    </row>
    <row r="32" spans="4:4" x14ac:dyDescent="0.25">
      <c r="D32" t="str">
        <f>IF(A32="","",COUNTIF(Workers!B:B,A32))</f>
        <v/>
      </c>
    </row>
    <row r="33" spans="4:4" x14ac:dyDescent="0.25">
      <c r="D33" t="str">
        <f>IF(A33="","",COUNTIF(Workers!B:B,A33))</f>
        <v/>
      </c>
    </row>
    <row r="34" spans="4:4" x14ac:dyDescent="0.25">
      <c r="D34" t="str">
        <f>IF(A34="","",COUNTIF(Workers!B:B,A34))</f>
        <v/>
      </c>
    </row>
    <row r="35" spans="4:4" x14ac:dyDescent="0.25">
      <c r="D35" t="str">
        <f>IF(A35="","",COUNTIF(Workers!B:B,A35))</f>
        <v/>
      </c>
    </row>
    <row r="36" spans="4:4" x14ac:dyDescent="0.25">
      <c r="D36" t="str">
        <f>IF(A36="","",COUNTIF(Workers!B:B,A36))</f>
        <v/>
      </c>
    </row>
    <row r="37" spans="4:4" x14ac:dyDescent="0.25">
      <c r="D37" t="str">
        <f>IF(A37="","",COUNTIF(Workers!B:B,A37))</f>
        <v/>
      </c>
    </row>
    <row r="38" spans="4:4" x14ac:dyDescent="0.25">
      <c r="D38" t="str">
        <f>IF(A38="","",COUNTIF(Workers!B:B,A38))</f>
        <v/>
      </c>
    </row>
    <row r="39" spans="4:4" x14ac:dyDescent="0.25">
      <c r="D39" t="str">
        <f>IF(A39="","",COUNTIF(Workers!B:B,A39))</f>
        <v/>
      </c>
    </row>
    <row r="40" spans="4:4" x14ac:dyDescent="0.25">
      <c r="D40" t="str">
        <f>IF(A40="","",COUNTIF(Workers!B:B,A40))</f>
        <v/>
      </c>
    </row>
    <row r="41" spans="4:4" x14ac:dyDescent="0.25">
      <c r="D41" t="str">
        <f>IF(A41="","",COUNTIF(Workers!B:B,A41))</f>
        <v/>
      </c>
    </row>
    <row r="42" spans="4:4" x14ac:dyDescent="0.25">
      <c r="D42" t="str">
        <f>IF(A42="","",COUNTIF(Workers!B:B,A42))</f>
        <v/>
      </c>
    </row>
    <row r="43" spans="4:4" x14ac:dyDescent="0.25">
      <c r="D43" t="str">
        <f>IF(A43="","",COUNTIF(Workers!B:B,A43))</f>
        <v/>
      </c>
    </row>
    <row r="44" spans="4:4" x14ac:dyDescent="0.25">
      <c r="D44" t="str">
        <f>IF(A44="","",COUNTIF(Workers!B:B,A44))</f>
        <v/>
      </c>
    </row>
    <row r="45" spans="4:4" x14ac:dyDescent="0.25">
      <c r="D45" t="str">
        <f>IF(A45="","",COUNTIF(Workers!B:B,A45))</f>
        <v/>
      </c>
    </row>
    <row r="46" spans="4:4" x14ac:dyDescent="0.25">
      <c r="D46" t="str">
        <f>IF(A46="","",COUNTIF(Workers!B:B,A46))</f>
        <v/>
      </c>
    </row>
    <row r="47" spans="4:4" x14ac:dyDescent="0.25">
      <c r="D47" t="str">
        <f>IF(A47="","",COUNTIF(Workers!B:B,A47))</f>
        <v/>
      </c>
    </row>
    <row r="48" spans="4:4" x14ac:dyDescent="0.25">
      <c r="D48" t="str">
        <f>IF(A48="","",COUNTIF(Workers!B:B,A48))</f>
        <v/>
      </c>
    </row>
    <row r="49" spans="4:4" x14ac:dyDescent="0.25">
      <c r="D49" t="str">
        <f>IF(A49="","",COUNTIF(Workers!B:B,A49))</f>
        <v/>
      </c>
    </row>
    <row r="50" spans="4:4" x14ac:dyDescent="0.25">
      <c r="D50" t="str">
        <f>IF(A50="","",COUNTIF(Workers!B:B,A50))</f>
        <v/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C2" sqref="C2"/>
    </sheetView>
  </sheetViews>
  <sheetFormatPr defaultRowHeight="15" x14ac:dyDescent="0.25"/>
  <cols>
    <col min="1" max="1" width="28" customWidth="1"/>
    <col min="2" max="2" width="32.5703125" bestFit="1" customWidth="1"/>
    <col min="3" max="3" width="22" customWidth="1"/>
    <col min="4" max="4" width="14" customWidth="1"/>
    <col min="5" max="5" width="16" customWidth="1"/>
    <col min="6" max="6" width="14" customWidth="1"/>
    <col min="7" max="7" width="28" customWidth="1"/>
    <col min="8" max="8" width="16" customWidth="1"/>
    <col min="9" max="9" width="30" customWidth="1"/>
  </cols>
  <sheetData>
    <row r="1" spans="1:9" x14ac:dyDescent="0.25">
      <c r="A1" s="1" t="s">
        <v>94</v>
      </c>
      <c r="B1" s="1" t="s">
        <v>95</v>
      </c>
      <c r="C1" s="1" t="s">
        <v>96</v>
      </c>
      <c r="D1" s="1" t="s">
        <v>97</v>
      </c>
      <c r="E1" s="10" t="s">
        <v>98</v>
      </c>
      <c r="F1" s="1" t="s">
        <v>99</v>
      </c>
      <c r="G1" s="1" t="s">
        <v>100</v>
      </c>
      <c r="H1" s="1" t="s">
        <v>101</v>
      </c>
      <c r="I1" s="1" t="s">
        <v>4</v>
      </c>
    </row>
    <row r="2" spans="1:9" x14ac:dyDescent="0.25">
      <c r="A2" t="s">
        <v>102</v>
      </c>
      <c r="B2" t="s">
        <v>5</v>
      </c>
      <c r="C2" t="s">
        <v>103</v>
      </c>
      <c r="D2" t="s">
        <v>104</v>
      </c>
      <c r="F2" s="7">
        <v>44270</v>
      </c>
    </row>
    <row r="3" spans="1:9" x14ac:dyDescent="0.25">
      <c r="A3" t="s">
        <v>105</v>
      </c>
      <c r="B3" t="s">
        <v>5</v>
      </c>
      <c r="C3" t="s">
        <v>106</v>
      </c>
      <c r="D3" t="s">
        <v>104</v>
      </c>
      <c r="F3" s="7">
        <v>45117</v>
      </c>
    </row>
    <row r="4" spans="1:9" x14ac:dyDescent="0.25">
      <c r="A4" t="s">
        <v>107</v>
      </c>
      <c r="B4" t="s">
        <v>5</v>
      </c>
      <c r="C4" t="s">
        <v>108</v>
      </c>
      <c r="D4" t="s">
        <v>104</v>
      </c>
      <c r="F4" s="7">
        <v>44586</v>
      </c>
    </row>
    <row r="5" spans="1:9" x14ac:dyDescent="0.25">
      <c r="A5" t="s">
        <v>109</v>
      </c>
      <c r="B5" t="s">
        <v>5</v>
      </c>
      <c r="C5" t="s">
        <v>110</v>
      </c>
      <c r="D5" t="s">
        <v>111</v>
      </c>
      <c r="F5" s="7">
        <v>46054</v>
      </c>
    </row>
    <row r="6" spans="1:9" x14ac:dyDescent="0.25">
      <c r="A6" t="s">
        <v>112</v>
      </c>
      <c r="B6" t="s">
        <v>8</v>
      </c>
      <c r="C6" t="s">
        <v>113</v>
      </c>
      <c r="D6" t="s">
        <v>104</v>
      </c>
      <c r="F6" s="7">
        <v>43605</v>
      </c>
    </row>
    <row r="7" spans="1:9" x14ac:dyDescent="0.25">
      <c r="A7" t="s">
        <v>114</v>
      </c>
      <c r="B7" t="s">
        <v>8</v>
      </c>
      <c r="C7" t="s">
        <v>115</v>
      </c>
      <c r="D7" t="s">
        <v>104</v>
      </c>
      <c r="F7" s="7">
        <v>44058</v>
      </c>
    </row>
    <row r="8" spans="1:9" x14ac:dyDescent="0.25">
      <c r="A8" t="s">
        <v>116</v>
      </c>
      <c r="B8" t="s">
        <v>8</v>
      </c>
      <c r="C8" t="s">
        <v>117</v>
      </c>
      <c r="D8" t="s">
        <v>104</v>
      </c>
      <c r="F8" s="7">
        <v>45597</v>
      </c>
    </row>
    <row r="9" spans="1:9" x14ac:dyDescent="0.25">
      <c r="A9" t="s">
        <v>118</v>
      </c>
      <c r="B9" t="s">
        <v>11</v>
      </c>
      <c r="C9" t="s">
        <v>119</v>
      </c>
      <c r="D9" t="s">
        <v>104</v>
      </c>
      <c r="F9" s="7">
        <v>42098</v>
      </c>
    </row>
    <row r="10" spans="1:9" x14ac:dyDescent="0.25">
      <c r="A10" t="s">
        <v>120</v>
      </c>
      <c r="B10" t="s">
        <v>11</v>
      </c>
      <c r="C10" t="s">
        <v>121</v>
      </c>
      <c r="D10" t="s">
        <v>104</v>
      </c>
      <c r="F10" s="7">
        <v>44447</v>
      </c>
    </row>
    <row r="11" spans="1:9" x14ac:dyDescent="0.25">
      <c r="A11" t="s">
        <v>122</v>
      </c>
      <c r="B11" t="s">
        <v>11</v>
      </c>
      <c r="C11" t="s">
        <v>123</v>
      </c>
      <c r="D11" t="s">
        <v>111</v>
      </c>
      <c r="F11" s="7">
        <v>45940</v>
      </c>
    </row>
    <row r="12" spans="1:9" x14ac:dyDescent="0.25">
      <c r="A12" t="s">
        <v>124</v>
      </c>
      <c r="B12" t="s">
        <v>14</v>
      </c>
      <c r="C12" t="s">
        <v>125</v>
      </c>
      <c r="D12" t="s">
        <v>104</v>
      </c>
      <c r="F12" s="7">
        <v>43271</v>
      </c>
    </row>
    <row r="13" spans="1:9" x14ac:dyDescent="0.25">
      <c r="A13" t="s">
        <v>126</v>
      </c>
      <c r="B13" t="s">
        <v>14</v>
      </c>
      <c r="C13" t="s">
        <v>127</v>
      </c>
      <c r="D13" t="s">
        <v>104</v>
      </c>
      <c r="F13" s="7">
        <v>44666</v>
      </c>
    </row>
    <row r="14" spans="1:9" x14ac:dyDescent="0.25">
      <c r="A14" t="s">
        <v>128</v>
      </c>
      <c r="B14" t="s">
        <v>14</v>
      </c>
      <c r="C14" t="s">
        <v>129</v>
      </c>
      <c r="D14" t="s">
        <v>104</v>
      </c>
      <c r="F14" s="7">
        <v>44985</v>
      </c>
    </row>
    <row r="15" spans="1:9" x14ac:dyDescent="0.25">
      <c r="A15" t="s">
        <v>130</v>
      </c>
      <c r="B15" t="s">
        <v>17</v>
      </c>
      <c r="C15" t="s">
        <v>131</v>
      </c>
      <c r="D15" t="s">
        <v>104</v>
      </c>
      <c r="F15" s="7">
        <v>43019</v>
      </c>
    </row>
    <row r="16" spans="1:9" x14ac:dyDescent="0.25">
      <c r="A16" t="s">
        <v>132</v>
      </c>
      <c r="B16" t="s">
        <v>17</v>
      </c>
      <c r="C16" t="s">
        <v>133</v>
      </c>
      <c r="D16" t="s">
        <v>104</v>
      </c>
      <c r="F16" s="7">
        <v>44943</v>
      </c>
    </row>
    <row r="17" spans="1:8" x14ac:dyDescent="0.25">
      <c r="A17" t="s">
        <v>134</v>
      </c>
      <c r="B17" t="s">
        <v>17</v>
      </c>
      <c r="C17" t="s">
        <v>110</v>
      </c>
      <c r="D17" t="s">
        <v>111</v>
      </c>
      <c r="F17" s="7">
        <v>46086</v>
      </c>
    </row>
    <row r="18" spans="1:8" x14ac:dyDescent="0.25">
      <c r="A18" t="s">
        <v>135</v>
      </c>
      <c r="B18" t="s">
        <v>20</v>
      </c>
      <c r="C18" t="s">
        <v>113</v>
      </c>
      <c r="D18" t="s">
        <v>104</v>
      </c>
      <c r="E18" t="s">
        <v>136</v>
      </c>
      <c r="F18" s="7">
        <v>44635</v>
      </c>
      <c r="G18" t="s">
        <v>137</v>
      </c>
      <c r="H18" t="s">
        <v>138</v>
      </c>
    </row>
    <row r="19" spans="1:8" x14ac:dyDescent="0.25">
      <c r="A19" t="s">
        <v>139</v>
      </c>
      <c r="B19" t="s">
        <v>20</v>
      </c>
      <c r="C19" t="s">
        <v>117</v>
      </c>
      <c r="D19" t="s">
        <v>104</v>
      </c>
      <c r="E19" t="s">
        <v>140</v>
      </c>
      <c r="F19" s="7">
        <v>45129</v>
      </c>
      <c r="G19" t="s">
        <v>141</v>
      </c>
      <c r="H19" t="s">
        <v>142</v>
      </c>
    </row>
    <row r="20" spans="1:8" x14ac:dyDescent="0.25">
      <c r="A20" t="s">
        <v>143</v>
      </c>
      <c r="B20" t="s">
        <v>20</v>
      </c>
      <c r="C20" t="s">
        <v>144</v>
      </c>
      <c r="D20" t="s">
        <v>145</v>
      </c>
      <c r="E20" t="s">
        <v>146</v>
      </c>
      <c r="F20" s="7">
        <v>44505</v>
      </c>
      <c r="G20" t="s">
        <v>147</v>
      </c>
      <c r="H20" t="s">
        <v>148</v>
      </c>
    </row>
    <row r="21" spans="1:8" x14ac:dyDescent="0.25">
      <c r="A21" t="s">
        <v>25</v>
      </c>
      <c r="B21" t="s">
        <v>24</v>
      </c>
      <c r="C21" t="s">
        <v>149</v>
      </c>
      <c r="D21" t="s">
        <v>104</v>
      </c>
      <c r="E21" t="s">
        <v>150</v>
      </c>
      <c r="F21" s="7">
        <v>43992</v>
      </c>
      <c r="G21" t="s">
        <v>151</v>
      </c>
      <c r="H21" t="s">
        <v>152</v>
      </c>
    </row>
    <row r="22" spans="1:8" x14ac:dyDescent="0.25">
      <c r="A22" t="s">
        <v>153</v>
      </c>
      <c r="B22" t="s">
        <v>24</v>
      </c>
      <c r="C22" t="s">
        <v>154</v>
      </c>
      <c r="D22" t="s">
        <v>104</v>
      </c>
      <c r="E22" t="s">
        <v>155</v>
      </c>
      <c r="F22" s="7">
        <v>44822</v>
      </c>
      <c r="G22" t="s">
        <v>156</v>
      </c>
      <c r="H22" t="s">
        <v>157</v>
      </c>
    </row>
    <row r="23" spans="1:8" x14ac:dyDescent="0.25">
      <c r="A23" t="s">
        <v>158</v>
      </c>
      <c r="B23" t="s">
        <v>24</v>
      </c>
      <c r="C23" t="s">
        <v>159</v>
      </c>
      <c r="D23" t="s">
        <v>104</v>
      </c>
      <c r="E23" t="s">
        <v>160</v>
      </c>
      <c r="F23" s="7">
        <v>45303</v>
      </c>
      <c r="G23" t="s">
        <v>161</v>
      </c>
      <c r="H23" t="s">
        <v>162</v>
      </c>
    </row>
    <row r="24" spans="1:8" x14ac:dyDescent="0.25">
      <c r="A24" t="s">
        <v>28</v>
      </c>
      <c r="B24" t="s">
        <v>27</v>
      </c>
      <c r="C24" t="s">
        <v>163</v>
      </c>
      <c r="D24" t="s">
        <v>104</v>
      </c>
      <c r="E24" t="s">
        <v>164</v>
      </c>
      <c r="F24" s="7">
        <v>44311</v>
      </c>
      <c r="G24" t="s">
        <v>165</v>
      </c>
      <c r="H24" t="s">
        <v>166</v>
      </c>
    </row>
    <row r="25" spans="1:8" x14ac:dyDescent="0.25">
      <c r="A25" t="s">
        <v>167</v>
      </c>
      <c r="B25" t="s">
        <v>27</v>
      </c>
      <c r="C25" t="s">
        <v>168</v>
      </c>
      <c r="D25" t="s">
        <v>104</v>
      </c>
      <c r="E25" t="s">
        <v>169</v>
      </c>
      <c r="F25" s="7">
        <v>44971</v>
      </c>
      <c r="G25" t="s">
        <v>170</v>
      </c>
      <c r="H25" t="s">
        <v>171</v>
      </c>
    </row>
    <row r="26" spans="1:8" x14ac:dyDescent="0.25">
      <c r="A26" t="s">
        <v>172</v>
      </c>
      <c r="B26" t="s">
        <v>27</v>
      </c>
      <c r="C26" t="s">
        <v>117</v>
      </c>
      <c r="D26" t="s">
        <v>145</v>
      </c>
      <c r="E26" t="s">
        <v>173</v>
      </c>
      <c r="F26" s="7">
        <v>44073</v>
      </c>
      <c r="G26" t="s">
        <v>174</v>
      </c>
      <c r="H26" t="s">
        <v>175</v>
      </c>
    </row>
    <row r="27" spans="1:8" x14ac:dyDescent="0.25">
      <c r="A27" t="s">
        <v>31</v>
      </c>
      <c r="B27" t="s">
        <v>30</v>
      </c>
      <c r="C27" t="s">
        <v>176</v>
      </c>
      <c r="D27" t="s">
        <v>104</v>
      </c>
      <c r="E27" t="s">
        <v>177</v>
      </c>
      <c r="F27" s="7">
        <v>44700</v>
      </c>
      <c r="G27" t="s">
        <v>178</v>
      </c>
      <c r="H27" t="s">
        <v>179</v>
      </c>
    </row>
    <row r="28" spans="1:8" x14ac:dyDescent="0.25">
      <c r="A28" t="s">
        <v>180</v>
      </c>
      <c r="B28" t="s">
        <v>30</v>
      </c>
      <c r="C28" t="s">
        <v>181</v>
      </c>
      <c r="D28" t="s">
        <v>104</v>
      </c>
      <c r="E28" t="s">
        <v>182</v>
      </c>
      <c r="F28" s="7">
        <v>45202</v>
      </c>
      <c r="G28" t="s">
        <v>183</v>
      </c>
      <c r="H28" t="s">
        <v>184</v>
      </c>
    </row>
    <row r="29" spans="1:8" x14ac:dyDescent="0.25">
      <c r="A29" t="s">
        <v>34</v>
      </c>
      <c r="B29" t="s">
        <v>33</v>
      </c>
      <c r="C29" t="s">
        <v>185</v>
      </c>
      <c r="D29" t="s">
        <v>104</v>
      </c>
      <c r="E29" t="s">
        <v>186</v>
      </c>
      <c r="F29" s="7">
        <v>44207</v>
      </c>
      <c r="G29" t="s">
        <v>187</v>
      </c>
      <c r="H29" t="s">
        <v>188</v>
      </c>
    </row>
    <row r="30" spans="1:8" x14ac:dyDescent="0.25">
      <c r="A30" t="s">
        <v>189</v>
      </c>
      <c r="B30" t="s">
        <v>33</v>
      </c>
      <c r="C30" t="s">
        <v>190</v>
      </c>
      <c r="D30" t="s">
        <v>104</v>
      </c>
      <c r="E30" t="s">
        <v>191</v>
      </c>
      <c r="F30" s="7">
        <v>45342</v>
      </c>
      <c r="G30" t="s">
        <v>192</v>
      </c>
      <c r="H30" t="s">
        <v>193</v>
      </c>
    </row>
    <row r="31" spans="1:8" x14ac:dyDescent="0.25">
      <c r="A31" t="s">
        <v>37</v>
      </c>
      <c r="B31" t="s">
        <v>36</v>
      </c>
      <c r="C31" t="s">
        <v>194</v>
      </c>
      <c r="D31" t="s">
        <v>104</v>
      </c>
      <c r="E31" t="s">
        <v>195</v>
      </c>
      <c r="F31" s="7">
        <v>44903</v>
      </c>
      <c r="G31" t="s">
        <v>196</v>
      </c>
      <c r="H31" t="s">
        <v>197</v>
      </c>
    </row>
    <row r="32" spans="1:8" x14ac:dyDescent="0.25">
      <c r="A32" t="s">
        <v>198</v>
      </c>
      <c r="B32" t="s">
        <v>36</v>
      </c>
      <c r="C32" t="s">
        <v>199</v>
      </c>
      <c r="D32" t="s">
        <v>145</v>
      </c>
      <c r="E32" t="s">
        <v>200</v>
      </c>
      <c r="F32" s="7">
        <v>44374</v>
      </c>
      <c r="G32" t="s">
        <v>201</v>
      </c>
      <c r="H32" t="s">
        <v>202</v>
      </c>
    </row>
    <row r="33" spans="1:6" x14ac:dyDescent="0.25">
      <c r="A33" t="s">
        <v>203</v>
      </c>
      <c r="B33" t="s">
        <v>39</v>
      </c>
      <c r="D33" t="s">
        <v>104</v>
      </c>
      <c r="F33" s="7"/>
    </row>
    <row r="34" spans="1:6" x14ac:dyDescent="0.25">
      <c r="A34" t="s">
        <v>204</v>
      </c>
      <c r="B34" t="s">
        <v>39</v>
      </c>
      <c r="D34" t="s">
        <v>104</v>
      </c>
      <c r="F34" s="7"/>
    </row>
    <row r="35" spans="1:6" x14ac:dyDescent="0.25">
      <c r="F35" s="7"/>
    </row>
    <row r="36" spans="1:6" x14ac:dyDescent="0.25">
      <c r="F36" s="7"/>
    </row>
    <row r="37" spans="1:6" x14ac:dyDescent="0.25">
      <c r="F37" s="7"/>
    </row>
    <row r="38" spans="1:6" x14ac:dyDescent="0.25">
      <c r="F38" s="7"/>
    </row>
    <row r="39" spans="1:6" x14ac:dyDescent="0.25">
      <c r="F39" s="7"/>
    </row>
    <row r="40" spans="1:6" x14ac:dyDescent="0.25">
      <c r="F40" s="7"/>
    </row>
    <row r="41" spans="1:6" x14ac:dyDescent="0.25">
      <c r="F41" s="7"/>
    </row>
    <row r="42" spans="1:6" x14ac:dyDescent="0.25">
      <c r="F42" s="7"/>
    </row>
    <row r="43" spans="1:6" x14ac:dyDescent="0.25">
      <c r="F43" s="7"/>
    </row>
    <row r="44" spans="1:6" x14ac:dyDescent="0.25">
      <c r="F44" s="7"/>
    </row>
    <row r="45" spans="1:6" x14ac:dyDescent="0.25">
      <c r="F45" s="7"/>
    </row>
    <row r="46" spans="1:6" x14ac:dyDescent="0.25">
      <c r="F46" s="7"/>
    </row>
    <row r="47" spans="1:6" x14ac:dyDescent="0.25">
      <c r="F47" s="7"/>
    </row>
    <row r="48" spans="1:6" x14ac:dyDescent="0.25">
      <c r="F48" s="7"/>
    </row>
    <row r="49" spans="6:6" x14ac:dyDescent="0.25">
      <c r="F49" s="7"/>
    </row>
    <row r="50" spans="6:6" x14ac:dyDescent="0.25">
      <c r="F50" s="7"/>
    </row>
    <row r="51" spans="6:6" x14ac:dyDescent="0.25">
      <c r="F51" s="7"/>
    </row>
    <row r="52" spans="6:6" x14ac:dyDescent="0.25">
      <c r="F52" s="7"/>
    </row>
    <row r="53" spans="6:6" x14ac:dyDescent="0.25">
      <c r="F53" s="7"/>
    </row>
    <row r="54" spans="6:6" x14ac:dyDescent="0.25">
      <c r="F54" s="7"/>
    </row>
    <row r="55" spans="6:6" x14ac:dyDescent="0.25">
      <c r="F55" s="7"/>
    </row>
    <row r="56" spans="6:6" x14ac:dyDescent="0.25">
      <c r="F56" s="7"/>
    </row>
    <row r="57" spans="6:6" x14ac:dyDescent="0.25">
      <c r="F57" s="7"/>
    </row>
    <row r="58" spans="6:6" x14ac:dyDescent="0.25">
      <c r="F58" s="7"/>
    </row>
    <row r="59" spans="6:6" x14ac:dyDescent="0.25">
      <c r="F59" s="7"/>
    </row>
    <row r="60" spans="6:6" x14ac:dyDescent="0.25">
      <c r="F60" s="7"/>
    </row>
    <row r="61" spans="6:6" x14ac:dyDescent="0.25">
      <c r="F61" s="7"/>
    </row>
    <row r="62" spans="6:6" x14ac:dyDescent="0.25">
      <c r="F62" s="7"/>
    </row>
    <row r="63" spans="6:6" x14ac:dyDescent="0.25">
      <c r="F63" s="7"/>
    </row>
    <row r="64" spans="6:6" x14ac:dyDescent="0.25">
      <c r="F64" s="7"/>
    </row>
    <row r="65" spans="6:6" x14ac:dyDescent="0.25">
      <c r="F65" s="7"/>
    </row>
    <row r="66" spans="6:6" x14ac:dyDescent="0.25">
      <c r="F66" s="7"/>
    </row>
    <row r="67" spans="6:6" x14ac:dyDescent="0.25">
      <c r="F67" s="7"/>
    </row>
    <row r="68" spans="6:6" x14ac:dyDescent="0.25">
      <c r="F68" s="7"/>
    </row>
    <row r="69" spans="6:6" x14ac:dyDescent="0.25">
      <c r="F69" s="7"/>
    </row>
    <row r="70" spans="6:6" x14ac:dyDescent="0.25">
      <c r="F70" s="7"/>
    </row>
    <row r="71" spans="6:6" x14ac:dyDescent="0.25">
      <c r="F71" s="7"/>
    </row>
    <row r="72" spans="6:6" x14ac:dyDescent="0.25">
      <c r="F72" s="7"/>
    </row>
    <row r="73" spans="6:6" x14ac:dyDescent="0.25">
      <c r="F73" s="7"/>
    </row>
    <row r="74" spans="6:6" x14ac:dyDescent="0.25">
      <c r="F74" s="7"/>
    </row>
    <row r="75" spans="6:6" x14ac:dyDescent="0.25">
      <c r="F75" s="7"/>
    </row>
    <row r="76" spans="6:6" x14ac:dyDescent="0.25">
      <c r="F76" s="7"/>
    </row>
    <row r="77" spans="6:6" x14ac:dyDescent="0.25">
      <c r="F77" s="7"/>
    </row>
    <row r="78" spans="6:6" x14ac:dyDescent="0.25">
      <c r="F78" s="7"/>
    </row>
    <row r="79" spans="6:6" x14ac:dyDescent="0.25">
      <c r="F79" s="7"/>
    </row>
    <row r="80" spans="6:6" x14ac:dyDescent="0.25">
      <c r="F80" s="7"/>
    </row>
    <row r="81" spans="6:6" x14ac:dyDescent="0.25">
      <c r="F81" s="7"/>
    </row>
    <row r="82" spans="6:6" x14ac:dyDescent="0.25">
      <c r="F82" s="7"/>
    </row>
    <row r="83" spans="6:6" x14ac:dyDescent="0.25">
      <c r="F83" s="7"/>
    </row>
    <row r="84" spans="6:6" x14ac:dyDescent="0.25">
      <c r="F84" s="7"/>
    </row>
    <row r="85" spans="6:6" x14ac:dyDescent="0.25">
      <c r="F85" s="7"/>
    </row>
    <row r="86" spans="6:6" x14ac:dyDescent="0.25">
      <c r="F86" s="7"/>
    </row>
    <row r="87" spans="6:6" x14ac:dyDescent="0.25">
      <c r="F87" s="7"/>
    </row>
    <row r="88" spans="6:6" x14ac:dyDescent="0.25">
      <c r="F88" s="7"/>
    </row>
    <row r="89" spans="6:6" x14ac:dyDescent="0.25">
      <c r="F89" s="7"/>
    </row>
    <row r="90" spans="6:6" x14ac:dyDescent="0.25">
      <c r="F90" s="7"/>
    </row>
    <row r="91" spans="6:6" x14ac:dyDescent="0.25">
      <c r="F91" s="7"/>
    </row>
    <row r="92" spans="6:6" x14ac:dyDescent="0.25">
      <c r="F92" s="7"/>
    </row>
    <row r="93" spans="6:6" x14ac:dyDescent="0.25">
      <c r="F93" s="7"/>
    </row>
    <row r="94" spans="6:6" x14ac:dyDescent="0.25">
      <c r="F94" s="7"/>
    </row>
    <row r="95" spans="6:6" x14ac:dyDescent="0.25">
      <c r="F95" s="7"/>
    </row>
    <row r="96" spans="6:6" x14ac:dyDescent="0.25">
      <c r="F96" s="7"/>
    </row>
    <row r="97" spans="6:6" x14ac:dyDescent="0.25">
      <c r="F97" s="7"/>
    </row>
    <row r="98" spans="6:6" x14ac:dyDescent="0.25">
      <c r="F98" s="7"/>
    </row>
    <row r="99" spans="6:6" x14ac:dyDescent="0.25">
      <c r="F99" s="7"/>
    </row>
    <row r="100" spans="6:6" x14ac:dyDescent="0.25">
      <c r="F100" s="7"/>
    </row>
    <row r="101" spans="6:6" x14ac:dyDescent="0.25">
      <c r="F101" s="7"/>
    </row>
    <row r="102" spans="6:6" x14ac:dyDescent="0.25">
      <c r="F102" s="7"/>
    </row>
    <row r="103" spans="6:6" x14ac:dyDescent="0.25">
      <c r="F103" s="7"/>
    </row>
    <row r="104" spans="6:6" x14ac:dyDescent="0.25">
      <c r="F104" s="7"/>
    </row>
    <row r="105" spans="6:6" x14ac:dyDescent="0.25">
      <c r="F105" s="7"/>
    </row>
    <row r="106" spans="6:6" x14ac:dyDescent="0.25">
      <c r="F106" s="7"/>
    </row>
    <row r="107" spans="6:6" x14ac:dyDescent="0.25">
      <c r="F107" s="7"/>
    </row>
    <row r="108" spans="6:6" x14ac:dyDescent="0.25">
      <c r="F108" s="7"/>
    </row>
    <row r="109" spans="6:6" x14ac:dyDescent="0.25">
      <c r="F109" s="7"/>
    </row>
    <row r="110" spans="6:6" x14ac:dyDescent="0.25">
      <c r="F110" s="7"/>
    </row>
    <row r="111" spans="6:6" x14ac:dyDescent="0.25">
      <c r="F111" s="7"/>
    </row>
    <row r="112" spans="6:6" x14ac:dyDescent="0.25">
      <c r="F112" s="7"/>
    </row>
    <row r="113" spans="6:6" x14ac:dyDescent="0.25">
      <c r="F113" s="7"/>
    </row>
    <row r="114" spans="6:6" x14ac:dyDescent="0.25">
      <c r="F114" s="7"/>
    </row>
    <row r="115" spans="6:6" x14ac:dyDescent="0.25">
      <c r="F115" s="7"/>
    </row>
    <row r="116" spans="6:6" x14ac:dyDescent="0.25">
      <c r="F116" s="7"/>
    </row>
    <row r="117" spans="6:6" x14ac:dyDescent="0.25">
      <c r="F117" s="7"/>
    </row>
    <row r="118" spans="6:6" x14ac:dyDescent="0.25">
      <c r="F118" s="7"/>
    </row>
    <row r="119" spans="6:6" x14ac:dyDescent="0.25">
      <c r="F119" s="7"/>
    </row>
    <row r="120" spans="6:6" x14ac:dyDescent="0.25">
      <c r="F120" s="7"/>
    </row>
    <row r="121" spans="6:6" x14ac:dyDescent="0.25">
      <c r="F121" s="7"/>
    </row>
    <row r="122" spans="6:6" x14ac:dyDescent="0.25">
      <c r="F122" s="7"/>
    </row>
    <row r="123" spans="6:6" x14ac:dyDescent="0.25">
      <c r="F123" s="7"/>
    </row>
    <row r="124" spans="6:6" x14ac:dyDescent="0.25">
      <c r="F124" s="7"/>
    </row>
    <row r="125" spans="6:6" x14ac:dyDescent="0.25">
      <c r="F125" s="7"/>
    </row>
    <row r="126" spans="6:6" x14ac:dyDescent="0.25">
      <c r="F126" s="7"/>
    </row>
    <row r="127" spans="6:6" x14ac:dyDescent="0.25">
      <c r="F127" s="7"/>
    </row>
    <row r="128" spans="6:6" x14ac:dyDescent="0.25">
      <c r="F128" s="7"/>
    </row>
    <row r="129" spans="6:6" x14ac:dyDescent="0.25">
      <c r="F129" s="7"/>
    </row>
    <row r="130" spans="6:6" x14ac:dyDescent="0.25">
      <c r="F130" s="7"/>
    </row>
    <row r="131" spans="6:6" x14ac:dyDescent="0.25">
      <c r="F131" s="7"/>
    </row>
    <row r="132" spans="6:6" x14ac:dyDescent="0.25">
      <c r="F132" s="7"/>
    </row>
    <row r="133" spans="6:6" x14ac:dyDescent="0.25">
      <c r="F133" s="7"/>
    </row>
    <row r="134" spans="6:6" x14ac:dyDescent="0.25">
      <c r="F134" s="7"/>
    </row>
    <row r="135" spans="6:6" x14ac:dyDescent="0.25">
      <c r="F135" s="7"/>
    </row>
    <row r="136" spans="6:6" x14ac:dyDescent="0.25">
      <c r="F136" s="7"/>
    </row>
    <row r="137" spans="6:6" x14ac:dyDescent="0.25">
      <c r="F137" s="7"/>
    </row>
    <row r="138" spans="6:6" x14ac:dyDescent="0.25">
      <c r="F138" s="7"/>
    </row>
    <row r="139" spans="6:6" x14ac:dyDescent="0.25">
      <c r="F139" s="7"/>
    </row>
    <row r="140" spans="6:6" x14ac:dyDescent="0.25">
      <c r="F140" s="7"/>
    </row>
    <row r="141" spans="6:6" x14ac:dyDescent="0.25">
      <c r="F141" s="7"/>
    </row>
    <row r="142" spans="6:6" x14ac:dyDescent="0.25">
      <c r="F142" s="7"/>
    </row>
    <row r="143" spans="6:6" x14ac:dyDescent="0.25">
      <c r="F143" s="7"/>
    </row>
    <row r="144" spans="6:6" x14ac:dyDescent="0.25">
      <c r="F144" s="7"/>
    </row>
    <row r="145" spans="6:6" x14ac:dyDescent="0.25">
      <c r="F145" s="7"/>
    </row>
    <row r="146" spans="6:6" x14ac:dyDescent="0.25">
      <c r="F146" s="7"/>
    </row>
    <row r="147" spans="6:6" x14ac:dyDescent="0.25">
      <c r="F147" s="7"/>
    </row>
    <row r="148" spans="6:6" x14ac:dyDescent="0.25">
      <c r="F148" s="7"/>
    </row>
    <row r="149" spans="6:6" x14ac:dyDescent="0.25">
      <c r="F149" s="7"/>
    </row>
    <row r="150" spans="6:6" x14ac:dyDescent="0.25">
      <c r="F150" s="7"/>
    </row>
    <row r="151" spans="6:6" x14ac:dyDescent="0.25">
      <c r="F151" s="7"/>
    </row>
    <row r="152" spans="6:6" x14ac:dyDescent="0.25">
      <c r="F152" s="7"/>
    </row>
    <row r="153" spans="6:6" x14ac:dyDescent="0.25">
      <c r="F153" s="7"/>
    </row>
    <row r="154" spans="6:6" x14ac:dyDescent="0.25">
      <c r="F154" s="7"/>
    </row>
    <row r="155" spans="6:6" x14ac:dyDescent="0.25">
      <c r="F155" s="7"/>
    </row>
    <row r="156" spans="6:6" x14ac:dyDescent="0.25">
      <c r="F156" s="7"/>
    </row>
    <row r="157" spans="6:6" x14ac:dyDescent="0.25">
      <c r="F157" s="7"/>
    </row>
    <row r="158" spans="6:6" x14ac:dyDescent="0.25">
      <c r="F158" s="7"/>
    </row>
    <row r="159" spans="6:6" x14ac:dyDescent="0.25">
      <c r="F159" s="7"/>
    </row>
    <row r="160" spans="6:6" x14ac:dyDescent="0.25">
      <c r="F160" s="7"/>
    </row>
    <row r="161" spans="6:6" x14ac:dyDescent="0.25">
      <c r="F161" s="7"/>
    </row>
    <row r="162" spans="6:6" x14ac:dyDescent="0.25">
      <c r="F162" s="7"/>
    </row>
    <row r="163" spans="6:6" x14ac:dyDescent="0.25">
      <c r="F163" s="7"/>
    </row>
    <row r="164" spans="6:6" x14ac:dyDescent="0.25">
      <c r="F164" s="7"/>
    </row>
    <row r="165" spans="6:6" x14ac:dyDescent="0.25">
      <c r="F165" s="7"/>
    </row>
    <row r="166" spans="6:6" x14ac:dyDescent="0.25">
      <c r="F166" s="7"/>
    </row>
    <row r="167" spans="6:6" x14ac:dyDescent="0.25">
      <c r="F167" s="7"/>
    </row>
    <row r="168" spans="6:6" x14ac:dyDescent="0.25">
      <c r="F168" s="7"/>
    </row>
    <row r="169" spans="6:6" x14ac:dyDescent="0.25">
      <c r="F169" s="7"/>
    </row>
    <row r="170" spans="6:6" x14ac:dyDescent="0.25">
      <c r="F170" s="7"/>
    </row>
    <row r="171" spans="6:6" x14ac:dyDescent="0.25">
      <c r="F171" s="7"/>
    </row>
    <row r="172" spans="6:6" x14ac:dyDescent="0.25">
      <c r="F172" s="7"/>
    </row>
    <row r="173" spans="6:6" x14ac:dyDescent="0.25">
      <c r="F173" s="7"/>
    </row>
    <row r="174" spans="6:6" x14ac:dyDescent="0.25">
      <c r="F174" s="7"/>
    </row>
    <row r="175" spans="6:6" x14ac:dyDescent="0.25">
      <c r="F175" s="7"/>
    </row>
    <row r="176" spans="6:6" x14ac:dyDescent="0.25">
      <c r="F176" s="7"/>
    </row>
    <row r="177" spans="6:6" x14ac:dyDescent="0.25">
      <c r="F177" s="7"/>
    </row>
    <row r="178" spans="6:6" x14ac:dyDescent="0.25">
      <c r="F178" s="7"/>
    </row>
    <row r="179" spans="6:6" x14ac:dyDescent="0.25">
      <c r="F179" s="7"/>
    </row>
    <row r="180" spans="6:6" x14ac:dyDescent="0.25">
      <c r="F180" s="7"/>
    </row>
    <row r="181" spans="6:6" x14ac:dyDescent="0.25">
      <c r="F181" s="7"/>
    </row>
    <row r="182" spans="6:6" x14ac:dyDescent="0.25">
      <c r="F182" s="7"/>
    </row>
    <row r="183" spans="6:6" x14ac:dyDescent="0.25">
      <c r="F183" s="7"/>
    </row>
    <row r="184" spans="6:6" x14ac:dyDescent="0.25">
      <c r="F184" s="7"/>
    </row>
    <row r="185" spans="6:6" x14ac:dyDescent="0.25">
      <c r="F185" s="7"/>
    </row>
    <row r="186" spans="6:6" x14ac:dyDescent="0.25">
      <c r="F186" s="7"/>
    </row>
    <row r="187" spans="6:6" x14ac:dyDescent="0.25">
      <c r="F187" s="7"/>
    </row>
    <row r="188" spans="6:6" x14ac:dyDescent="0.25">
      <c r="F188" s="7"/>
    </row>
    <row r="189" spans="6:6" x14ac:dyDescent="0.25">
      <c r="F189" s="7"/>
    </row>
    <row r="190" spans="6:6" x14ac:dyDescent="0.25">
      <c r="F190" s="7"/>
    </row>
    <row r="191" spans="6:6" x14ac:dyDescent="0.25">
      <c r="F191" s="7"/>
    </row>
    <row r="192" spans="6:6" x14ac:dyDescent="0.25">
      <c r="F192" s="7"/>
    </row>
    <row r="193" spans="6:6" x14ac:dyDescent="0.25">
      <c r="F193" s="7"/>
    </row>
    <row r="194" spans="6:6" x14ac:dyDescent="0.25">
      <c r="F194" s="7"/>
    </row>
    <row r="195" spans="6:6" x14ac:dyDescent="0.25">
      <c r="F195" s="7"/>
    </row>
    <row r="196" spans="6:6" x14ac:dyDescent="0.25">
      <c r="F196" s="7"/>
    </row>
    <row r="197" spans="6:6" x14ac:dyDescent="0.25">
      <c r="F197" s="7"/>
    </row>
    <row r="198" spans="6:6" x14ac:dyDescent="0.25">
      <c r="F198" s="7"/>
    </row>
    <row r="199" spans="6:6" x14ac:dyDescent="0.25">
      <c r="F199" s="7"/>
    </row>
    <row r="200" spans="6:6" x14ac:dyDescent="0.25">
      <c r="F200" s="7"/>
    </row>
  </sheetData>
  <dataValidations count="3">
    <dataValidation type="list" allowBlank="1" sqref="C2:C200" xr:uid="{00000000-0002-0000-0400-000000000000}">
      <formula1>JobTitleOptions</formula1>
    </dataValidation>
    <dataValidation type="list" allowBlank="1" sqref="D1:D1048576" xr:uid="{00000000-0002-0000-0400-000001000000}">
      <formula1>"active,inactive,onboarding,terminated"</formula1>
    </dataValidation>
    <dataValidation type="list" allowBlank="1" showInputMessage="1" showErrorMessage="1" sqref="B1:B1048576" xr:uid="{00000000-0002-0000-0400-000002000000}">
      <formula1>ContractorOption</formula1>
    </dataValidation>
  </dataValidations>
  <pageMargins left="0.75" right="0.75" top="1" bottom="1" header="0.5" footer="0.5"/>
  <pageSetup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Z200"/>
  <sheetViews>
    <sheetView showGridLines="0" tabSelected="1" workbookViewId="0">
      <pane xSplit="2" ySplit="2" topLeftCell="C3" activePane="bottomRight" state="frozen"/>
      <selection pane="topRight"/>
      <selection pane="bottomLeft"/>
      <selection pane="bottomRight" activeCell="O34" sqref="O34"/>
    </sheetView>
  </sheetViews>
  <sheetFormatPr defaultRowHeight="15" x14ac:dyDescent="0.25"/>
  <cols>
    <col min="1" max="1" width="32.5703125" bestFit="1" customWidth="1"/>
    <col min="2" max="2" width="25" bestFit="1" customWidth="1"/>
    <col min="3" max="19" width="14" customWidth="1"/>
    <col min="20" max="26" width="13" customWidth="1"/>
  </cols>
  <sheetData>
    <row r="1" spans="1:26" x14ac:dyDescent="0.25">
      <c r="A1" s="8"/>
      <c r="B1" s="8"/>
      <c r="C1" s="14" t="s">
        <v>205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4" t="s">
        <v>83</v>
      </c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60" customHeight="1" x14ac:dyDescent="0.25">
      <c r="A2" s="1" t="s">
        <v>95</v>
      </c>
      <c r="B2" s="1" t="s">
        <v>206</v>
      </c>
      <c r="C2" s="1" t="str">
        <f>Certifications!A2</f>
        <v>Protección Contra Caídas</v>
      </c>
      <c r="D2" s="1" t="str">
        <f>Certifications!A3</f>
        <v>Flama Expuesta</v>
      </c>
      <c r="E2" s="1" t="str">
        <f>Certifications!A4</f>
        <v>Espacios Confinados</v>
      </c>
      <c r="F2" s="1" t="str">
        <f>Certifications!A5</f>
        <v>Manejo de Equipo Motorizado</v>
      </c>
      <c r="G2" s="1" t="str">
        <f>Certifications!A6</f>
        <v>Excavación o Zanja</v>
      </c>
      <c r="H2" s="1" t="str">
        <f>Certifications!A7</f>
        <v>Manejo de Tijeras (Scissor Lift)</v>
      </c>
      <c r="I2" s="1" t="str">
        <f>Certifications!A8</f>
        <v>Seguridad Eléctrica</v>
      </c>
      <c r="J2" s="1" t="str">
        <f>Certifications!A9</f>
        <v>Lockout</v>
      </c>
      <c r="K2" s="1" t="str">
        <f>Certifications!A10</f>
        <v>Manejo de Grúas</v>
      </c>
      <c r="L2" s="1" t="str">
        <f>Certifications!A11</f>
        <v>Escaleras</v>
      </c>
      <c r="M2" s="1" t="str">
        <f>Certifications!A12</f>
        <v>Andamios</v>
      </c>
      <c r="N2" s="1" t="str">
        <f>Certifications!A13</f>
        <v>Trabajos con Plomo o Asbesto</v>
      </c>
      <c r="O2" s="1" t="str">
        <f>Certifications!A14</f>
        <v>Comunicación de Riesgos</v>
      </c>
      <c r="P2" s="1" t="str">
        <f>Certifications!A15</f>
        <v>Inducción Jacobs/Lilly</v>
      </c>
      <c r="Q2" s="1" t="str">
        <f>Certifications!A16</f>
        <v>OSHA 40Hr HAZWOPER</v>
      </c>
      <c r="R2" s="1" t="str">
        <f>Certifications!A17</f>
        <v>OSHA 8Hr Refresher</v>
      </c>
      <c r="S2" s="1" t="str">
        <f>Certifications!A18</f>
        <v>Drilling Safety</v>
      </c>
      <c r="T2" s="1" t="str">
        <f>Certifications!A19</f>
        <v>Utility Locating</v>
      </c>
      <c r="U2" s="1" t="str">
        <f>Certifications!A20</f>
        <v>OSHA 10</v>
      </c>
      <c r="V2" s="1" t="str">
        <f>Certifications!A21</f>
        <v>OSHA 30</v>
      </c>
      <c r="W2" s="1" t="str">
        <f>Certifications!A22</f>
        <v>Rebar Safety</v>
      </c>
      <c r="X2" s="1" t="str">
        <f>Certifications!A23</f>
        <v>Formwork &amp; Shoring</v>
      </c>
      <c r="Y2" s="1" t="str">
        <f>Certifications!A24</f>
        <v>Silica Exposure</v>
      </c>
      <c r="Z2" s="1" t="str">
        <f>Certifications!A25</f>
        <v>Concrete &amp; Masonry</v>
      </c>
    </row>
    <row r="3" spans="1:26" hidden="1" x14ac:dyDescent="0.25">
      <c r="A3" t="s">
        <v>5</v>
      </c>
      <c r="B3" t="s">
        <v>102</v>
      </c>
      <c r="C3" s="9">
        <v>45976</v>
      </c>
      <c r="D3" s="9">
        <v>45976</v>
      </c>
      <c r="E3" s="9">
        <v>45976</v>
      </c>
      <c r="F3" s="9">
        <v>45514</v>
      </c>
      <c r="G3" s="9">
        <v>45976</v>
      </c>
      <c r="H3" s="9">
        <v>45514</v>
      </c>
      <c r="I3" s="9">
        <v>45976</v>
      </c>
      <c r="J3" s="9">
        <v>45976</v>
      </c>
      <c r="K3" s="9">
        <v>45514</v>
      </c>
      <c r="L3" s="9">
        <v>45514</v>
      </c>
      <c r="M3" s="9">
        <v>45514</v>
      </c>
      <c r="N3" s="9">
        <v>45976</v>
      </c>
      <c r="O3" s="9">
        <v>45976</v>
      </c>
      <c r="P3" s="9">
        <v>45976</v>
      </c>
      <c r="Q3" s="9">
        <v>42156</v>
      </c>
      <c r="R3" s="9">
        <v>45976</v>
      </c>
      <c r="S3" s="9">
        <v>45514</v>
      </c>
      <c r="T3" s="9">
        <v>45976</v>
      </c>
      <c r="U3" s="9"/>
      <c r="V3" s="9"/>
      <c r="W3" s="9"/>
      <c r="X3" s="9"/>
      <c r="Y3" s="9"/>
      <c r="Z3" s="9"/>
    </row>
    <row r="4" spans="1:26" hidden="1" x14ac:dyDescent="0.25">
      <c r="A4" t="s">
        <v>5</v>
      </c>
      <c r="B4" t="s">
        <v>105</v>
      </c>
      <c r="C4" s="9">
        <v>45797</v>
      </c>
      <c r="D4" s="9">
        <v>45797</v>
      </c>
      <c r="E4" s="9">
        <v>45797</v>
      </c>
      <c r="F4" s="9">
        <v>45066</v>
      </c>
      <c r="G4" s="9">
        <v>45797</v>
      </c>
      <c r="H4" s="9">
        <v>45066</v>
      </c>
      <c r="I4" s="9">
        <v>45797</v>
      </c>
      <c r="J4" s="9">
        <v>45797</v>
      </c>
      <c r="K4" s="9"/>
      <c r="L4" s="9">
        <v>45066</v>
      </c>
      <c r="M4" s="9">
        <v>45066</v>
      </c>
      <c r="N4" s="9">
        <v>45797</v>
      </c>
      <c r="O4" s="9">
        <v>45797</v>
      </c>
      <c r="P4" s="9">
        <v>45797</v>
      </c>
      <c r="Q4" s="9">
        <v>43931</v>
      </c>
      <c r="R4" s="9">
        <v>45797</v>
      </c>
      <c r="S4" s="9">
        <v>45066</v>
      </c>
      <c r="T4" s="9">
        <v>45797</v>
      </c>
      <c r="U4" s="9"/>
      <c r="V4" s="9"/>
      <c r="W4" s="9"/>
      <c r="X4" s="9"/>
      <c r="Y4" s="9"/>
      <c r="Z4" s="9"/>
    </row>
    <row r="5" spans="1:26" hidden="1" x14ac:dyDescent="0.25">
      <c r="A5" t="s">
        <v>5</v>
      </c>
      <c r="B5" t="s">
        <v>107</v>
      </c>
      <c r="C5" s="9">
        <v>45976</v>
      </c>
      <c r="D5" s="9">
        <v>45976</v>
      </c>
      <c r="E5" s="9">
        <v>45976</v>
      </c>
      <c r="F5" s="9">
        <v>45514</v>
      </c>
      <c r="G5" s="9">
        <v>45976</v>
      </c>
      <c r="H5" s="9"/>
      <c r="I5" s="9">
        <v>45976</v>
      </c>
      <c r="J5" s="9">
        <v>45976</v>
      </c>
      <c r="K5" s="9">
        <v>45514</v>
      </c>
      <c r="L5" s="9"/>
      <c r="M5" s="9">
        <v>45514</v>
      </c>
      <c r="N5" s="9"/>
      <c r="O5" s="9">
        <v>45976</v>
      </c>
      <c r="P5" s="9">
        <v>45976</v>
      </c>
      <c r="Q5" s="9">
        <v>43344</v>
      </c>
      <c r="R5" s="9">
        <v>45458</v>
      </c>
      <c r="S5" s="9">
        <v>45514</v>
      </c>
      <c r="T5" s="9"/>
      <c r="U5" s="9"/>
      <c r="V5" s="9"/>
      <c r="W5" s="9"/>
      <c r="X5" s="9"/>
      <c r="Y5" s="9"/>
      <c r="Z5" s="9"/>
    </row>
    <row r="6" spans="1:26" hidden="1" x14ac:dyDescent="0.25">
      <c r="A6" t="s">
        <v>5</v>
      </c>
      <c r="B6" t="s">
        <v>109</v>
      </c>
      <c r="C6" s="9">
        <v>45976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>
        <v>45976</v>
      </c>
      <c r="P6" s="9">
        <v>45976</v>
      </c>
      <c r="Q6" s="9"/>
      <c r="R6" s="9"/>
      <c r="S6" s="9"/>
      <c r="T6" s="9"/>
      <c r="U6" s="9">
        <v>45931</v>
      </c>
      <c r="V6" s="9"/>
      <c r="W6" s="9"/>
      <c r="X6" s="9"/>
      <c r="Y6" s="9"/>
      <c r="Z6" s="9"/>
    </row>
    <row r="7" spans="1:26" hidden="1" x14ac:dyDescent="0.25">
      <c r="A7" t="s">
        <v>8</v>
      </c>
      <c r="B7" t="s">
        <v>112</v>
      </c>
      <c r="C7" s="9">
        <v>45976</v>
      </c>
      <c r="D7" s="9">
        <v>45976</v>
      </c>
      <c r="E7" s="9">
        <v>45976</v>
      </c>
      <c r="F7" s="9">
        <v>45514</v>
      </c>
      <c r="G7" s="9">
        <v>45976</v>
      </c>
      <c r="H7" s="9">
        <v>45514</v>
      </c>
      <c r="I7" s="9">
        <v>45976</v>
      </c>
      <c r="J7" s="9">
        <v>45976</v>
      </c>
      <c r="K7" s="9">
        <v>45514</v>
      </c>
      <c r="L7" s="9">
        <v>45514</v>
      </c>
      <c r="M7" s="9">
        <v>45514</v>
      </c>
      <c r="N7" s="9">
        <v>45976</v>
      </c>
      <c r="O7" s="9">
        <v>45976</v>
      </c>
      <c r="P7" s="9">
        <v>45976</v>
      </c>
      <c r="Q7" s="9"/>
      <c r="R7" s="9"/>
      <c r="S7" s="9"/>
      <c r="T7" s="9"/>
      <c r="U7" s="9"/>
      <c r="V7" s="9">
        <v>43668</v>
      </c>
      <c r="W7" s="9">
        <v>44634</v>
      </c>
      <c r="X7" s="9">
        <v>45179</v>
      </c>
      <c r="Y7" s="9">
        <v>45327</v>
      </c>
      <c r="Z7" s="9">
        <v>45248</v>
      </c>
    </row>
    <row r="8" spans="1:26" hidden="1" x14ac:dyDescent="0.25">
      <c r="A8" t="s">
        <v>8</v>
      </c>
      <c r="B8" t="s">
        <v>114</v>
      </c>
      <c r="C8" s="9">
        <v>45976</v>
      </c>
      <c r="D8" s="9">
        <v>45458</v>
      </c>
      <c r="E8" s="9">
        <v>45976</v>
      </c>
      <c r="F8" s="9">
        <v>45514</v>
      </c>
      <c r="G8" s="9"/>
      <c r="H8" s="9">
        <v>44875</v>
      </c>
      <c r="I8" s="9">
        <v>45976</v>
      </c>
      <c r="J8" s="9">
        <v>45976</v>
      </c>
      <c r="K8" s="9"/>
      <c r="L8" s="9">
        <v>45514</v>
      </c>
      <c r="M8" s="9">
        <v>45514</v>
      </c>
      <c r="N8" s="9">
        <v>45976</v>
      </c>
      <c r="O8" s="9">
        <v>45976</v>
      </c>
      <c r="P8" s="9">
        <v>45976</v>
      </c>
      <c r="Q8" s="9"/>
      <c r="R8" s="9"/>
      <c r="S8" s="9"/>
      <c r="T8" s="9"/>
      <c r="U8" s="9">
        <v>44581</v>
      </c>
      <c r="V8" s="9"/>
      <c r="W8" s="9">
        <v>44418</v>
      </c>
      <c r="X8" s="9"/>
      <c r="Y8" s="9">
        <v>45386</v>
      </c>
      <c r="Z8" s="9">
        <v>45455</v>
      </c>
    </row>
    <row r="9" spans="1:26" hidden="1" x14ac:dyDescent="0.25">
      <c r="A9" t="s">
        <v>8</v>
      </c>
      <c r="B9" t="s">
        <v>116</v>
      </c>
      <c r="C9" s="9">
        <v>45976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>
        <v>45976</v>
      </c>
      <c r="P9" s="9">
        <v>45797</v>
      </c>
      <c r="Q9" s="9"/>
      <c r="R9" s="9"/>
      <c r="S9" s="9"/>
      <c r="T9" s="9"/>
      <c r="U9" s="9">
        <v>45601</v>
      </c>
      <c r="V9" s="9"/>
      <c r="W9" s="9"/>
      <c r="X9" s="9"/>
      <c r="Y9" s="9"/>
      <c r="Z9" s="9"/>
    </row>
    <row r="10" spans="1:26" hidden="1" x14ac:dyDescent="0.25">
      <c r="A10" t="s">
        <v>11</v>
      </c>
      <c r="B10" t="s">
        <v>118</v>
      </c>
      <c r="C10" s="9">
        <v>45976</v>
      </c>
      <c r="D10" s="9">
        <v>45976</v>
      </c>
      <c r="E10" s="9">
        <v>45976</v>
      </c>
      <c r="F10" s="9">
        <v>45066</v>
      </c>
      <c r="G10" s="9"/>
      <c r="H10" s="9">
        <v>45514</v>
      </c>
      <c r="I10" s="9">
        <v>45976</v>
      </c>
      <c r="J10" s="9">
        <v>45976</v>
      </c>
      <c r="K10" s="9"/>
      <c r="L10" s="9">
        <v>45514</v>
      </c>
      <c r="M10" s="9"/>
      <c r="N10" s="9"/>
      <c r="O10" s="9">
        <v>45976</v>
      </c>
      <c r="P10" s="9">
        <v>45976</v>
      </c>
      <c r="Q10" s="9"/>
      <c r="R10" s="9">
        <v>45976</v>
      </c>
      <c r="S10" s="9"/>
      <c r="T10" s="9"/>
      <c r="U10" s="9"/>
      <c r="V10" s="9">
        <v>42816</v>
      </c>
      <c r="W10" s="9"/>
      <c r="X10" s="9"/>
      <c r="Y10" s="9"/>
      <c r="Z10" s="9"/>
    </row>
    <row r="11" spans="1:26" hidden="1" x14ac:dyDescent="0.25">
      <c r="A11" t="s">
        <v>11</v>
      </c>
      <c r="B11" t="s">
        <v>120</v>
      </c>
      <c r="C11" s="9">
        <v>45458</v>
      </c>
      <c r="D11" s="9">
        <v>45976</v>
      </c>
      <c r="E11" s="9">
        <v>45976</v>
      </c>
      <c r="F11" s="9"/>
      <c r="G11" s="9"/>
      <c r="H11" s="9"/>
      <c r="I11" s="9">
        <v>45976</v>
      </c>
      <c r="J11" s="9">
        <v>45458</v>
      </c>
      <c r="K11" s="9"/>
      <c r="L11" s="9">
        <v>45514</v>
      </c>
      <c r="M11" s="9"/>
      <c r="N11" s="9"/>
      <c r="O11" s="9">
        <v>45976</v>
      </c>
      <c r="P11" s="9">
        <v>45976</v>
      </c>
      <c r="Q11" s="9"/>
      <c r="R11" s="9">
        <v>45797</v>
      </c>
      <c r="S11" s="9"/>
      <c r="T11" s="9"/>
      <c r="U11" s="9">
        <v>43952</v>
      </c>
      <c r="V11" s="9"/>
      <c r="W11" s="9"/>
      <c r="X11" s="9"/>
      <c r="Y11" s="9"/>
      <c r="Z11" s="9"/>
    </row>
    <row r="12" spans="1:26" hidden="1" x14ac:dyDescent="0.25">
      <c r="A12" t="s">
        <v>11</v>
      </c>
      <c r="B12" t="s">
        <v>122</v>
      </c>
      <c r="C12" s="9">
        <v>45976</v>
      </c>
      <c r="D12" s="9"/>
      <c r="E12" s="9"/>
      <c r="F12" s="9"/>
      <c r="G12" s="9"/>
      <c r="H12" s="9"/>
      <c r="I12" s="9">
        <v>45797</v>
      </c>
      <c r="J12" s="9"/>
      <c r="K12" s="9"/>
      <c r="L12" s="9"/>
      <c r="M12" s="9"/>
      <c r="N12" s="9"/>
      <c r="O12" s="9">
        <v>45976</v>
      </c>
      <c r="P12" s="9">
        <v>45976</v>
      </c>
      <c r="Q12" s="9"/>
      <c r="R12" s="9"/>
      <c r="S12" s="9"/>
      <c r="T12" s="9"/>
      <c r="U12" s="9">
        <v>45991</v>
      </c>
      <c r="V12" s="9"/>
      <c r="W12" s="9"/>
      <c r="X12" s="9"/>
      <c r="Y12" s="9"/>
      <c r="Z12" s="9"/>
    </row>
    <row r="13" spans="1:26" hidden="1" x14ac:dyDescent="0.25">
      <c r="A13" t="s">
        <v>14</v>
      </c>
      <c r="B13" t="s">
        <v>124</v>
      </c>
      <c r="C13" s="9">
        <v>45976</v>
      </c>
      <c r="D13" s="9">
        <v>45976</v>
      </c>
      <c r="E13" s="9">
        <v>45976</v>
      </c>
      <c r="F13" s="9">
        <v>45514</v>
      </c>
      <c r="G13" s="9">
        <v>45976</v>
      </c>
      <c r="H13" s="9">
        <v>45514</v>
      </c>
      <c r="I13" s="9">
        <v>45976</v>
      </c>
      <c r="J13" s="9">
        <v>45976</v>
      </c>
      <c r="K13" s="9">
        <v>45514</v>
      </c>
      <c r="L13" s="9">
        <v>45514</v>
      </c>
      <c r="M13" s="9"/>
      <c r="N13" s="9">
        <v>45976</v>
      </c>
      <c r="O13" s="9">
        <v>45976</v>
      </c>
      <c r="P13" s="9">
        <v>45976</v>
      </c>
      <c r="Q13" s="9"/>
      <c r="R13" s="9"/>
      <c r="S13" s="9"/>
      <c r="T13" s="9">
        <v>45976</v>
      </c>
      <c r="U13" s="9"/>
      <c r="V13" s="9">
        <v>43143</v>
      </c>
      <c r="W13" s="9"/>
      <c r="X13" s="9"/>
      <c r="Y13" s="9"/>
      <c r="Z13" s="9"/>
    </row>
    <row r="14" spans="1:26" hidden="1" x14ac:dyDescent="0.25">
      <c r="A14" t="s">
        <v>14</v>
      </c>
      <c r="B14" t="s">
        <v>126</v>
      </c>
      <c r="C14" s="9">
        <v>45797</v>
      </c>
      <c r="D14" s="9">
        <v>45797</v>
      </c>
      <c r="E14" s="9">
        <v>45797</v>
      </c>
      <c r="F14" s="9">
        <v>45066</v>
      </c>
      <c r="G14" s="9">
        <v>45797</v>
      </c>
      <c r="H14" s="9">
        <v>45066</v>
      </c>
      <c r="I14" s="9">
        <v>45797</v>
      </c>
      <c r="J14" s="9">
        <v>45797</v>
      </c>
      <c r="K14" s="9">
        <v>45066</v>
      </c>
      <c r="L14" s="9"/>
      <c r="M14" s="9"/>
      <c r="N14" s="9"/>
      <c r="O14" s="9">
        <v>45797</v>
      </c>
      <c r="P14" s="9">
        <v>45797</v>
      </c>
      <c r="Q14" s="9"/>
      <c r="R14" s="9"/>
      <c r="S14" s="9"/>
      <c r="T14" s="9">
        <v>45797</v>
      </c>
      <c r="U14" s="9"/>
      <c r="V14" s="9">
        <v>44440</v>
      </c>
      <c r="W14" s="9"/>
      <c r="X14" s="9"/>
      <c r="Y14" s="9"/>
      <c r="Z14" s="9"/>
    </row>
    <row r="15" spans="1:26" hidden="1" x14ac:dyDescent="0.25">
      <c r="A15" t="s">
        <v>14</v>
      </c>
      <c r="B15" t="s">
        <v>128</v>
      </c>
      <c r="C15" s="9">
        <v>45458</v>
      </c>
      <c r="D15" s="9">
        <v>45976</v>
      </c>
      <c r="E15" s="9">
        <v>45976</v>
      </c>
      <c r="F15" s="9"/>
      <c r="G15" s="9">
        <v>45458</v>
      </c>
      <c r="H15" s="9"/>
      <c r="I15" s="9">
        <v>45976</v>
      </c>
      <c r="J15" s="9"/>
      <c r="K15" s="9"/>
      <c r="L15" s="9"/>
      <c r="M15" s="9"/>
      <c r="N15" s="9"/>
      <c r="O15" s="9">
        <v>45976</v>
      </c>
      <c r="P15" s="9">
        <v>45976</v>
      </c>
      <c r="Q15" s="9"/>
      <c r="R15" s="9"/>
      <c r="S15" s="9"/>
      <c r="T15" s="9"/>
      <c r="U15" s="9">
        <v>45091</v>
      </c>
      <c r="V15" s="9"/>
      <c r="W15" s="9"/>
      <c r="X15" s="9"/>
      <c r="Y15" s="9"/>
      <c r="Z15" s="9"/>
    </row>
    <row r="16" spans="1:26" hidden="1" x14ac:dyDescent="0.25">
      <c r="A16" t="s">
        <v>17</v>
      </c>
      <c r="B16" t="s">
        <v>130</v>
      </c>
      <c r="C16" s="9">
        <v>45976</v>
      </c>
      <c r="D16" s="9">
        <v>45976</v>
      </c>
      <c r="E16" s="9">
        <v>45976</v>
      </c>
      <c r="F16" s="9">
        <v>45514</v>
      </c>
      <c r="G16" s="9"/>
      <c r="H16" s="9">
        <v>45514</v>
      </c>
      <c r="I16" s="9">
        <v>45976</v>
      </c>
      <c r="J16" s="9">
        <v>45976</v>
      </c>
      <c r="K16" s="9"/>
      <c r="L16" s="9">
        <v>45514</v>
      </c>
      <c r="M16" s="9">
        <v>45514</v>
      </c>
      <c r="N16" s="9"/>
      <c r="O16" s="9">
        <v>45976</v>
      </c>
      <c r="P16" s="9">
        <v>45976</v>
      </c>
      <c r="Q16" s="9"/>
      <c r="R16" s="9"/>
      <c r="S16" s="9"/>
      <c r="T16" s="9"/>
      <c r="U16" s="9"/>
      <c r="V16" s="9">
        <v>43780</v>
      </c>
      <c r="W16" s="9"/>
      <c r="X16" s="9"/>
      <c r="Y16" s="9"/>
      <c r="Z16" s="9"/>
    </row>
    <row r="17" spans="1:26" hidden="1" x14ac:dyDescent="0.25">
      <c r="A17" t="s">
        <v>17</v>
      </c>
      <c r="B17" t="s">
        <v>132</v>
      </c>
      <c r="C17" s="9">
        <v>45797</v>
      </c>
      <c r="D17" s="9">
        <v>45976</v>
      </c>
      <c r="E17" s="9">
        <v>45976</v>
      </c>
      <c r="F17" s="9"/>
      <c r="G17" s="9"/>
      <c r="H17" s="9">
        <v>45514</v>
      </c>
      <c r="I17" s="9">
        <v>45976</v>
      </c>
      <c r="J17" s="9">
        <v>45976</v>
      </c>
      <c r="K17" s="9"/>
      <c r="L17" s="9">
        <v>45514</v>
      </c>
      <c r="M17" s="9">
        <v>45514</v>
      </c>
      <c r="N17" s="9"/>
      <c r="O17" s="9">
        <v>45976</v>
      </c>
      <c r="P17" s="9">
        <v>45797</v>
      </c>
      <c r="Q17" s="9"/>
      <c r="R17" s="9"/>
      <c r="S17" s="9"/>
      <c r="T17" s="9"/>
      <c r="U17" s="9">
        <v>45371</v>
      </c>
      <c r="V17" s="9"/>
      <c r="W17" s="9"/>
      <c r="X17" s="9"/>
      <c r="Y17" s="9"/>
      <c r="Z17" s="9"/>
    </row>
    <row r="18" spans="1:26" hidden="1" x14ac:dyDescent="0.25">
      <c r="A18" t="s">
        <v>17</v>
      </c>
      <c r="B18" t="s">
        <v>134</v>
      </c>
      <c r="C18" s="9">
        <v>45976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>
        <v>45976</v>
      </c>
      <c r="P18" s="9">
        <v>45976</v>
      </c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x14ac:dyDescent="0.25">
      <c r="A19" t="s">
        <v>20</v>
      </c>
      <c r="B19" t="s">
        <v>135</v>
      </c>
      <c r="C19" s="9">
        <v>45708</v>
      </c>
      <c r="D19" s="9"/>
      <c r="E19" s="9">
        <v>45976</v>
      </c>
      <c r="F19" s="9">
        <v>45514</v>
      </c>
      <c r="G19" s="9"/>
      <c r="H19" s="9"/>
      <c r="I19" s="9">
        <v>45976</v>
      </c>
      <c r="J19" s="9">
        <v>45976</v>
      </c>
      <c r="K19" s="9"/>
      <c r="L19" s="9"/>
      <c r="M19" s="9">
        <v>45514</v>
      </c>
      <c r="N19" s="9"/>
      <c r="O19" s="9">
        <v>45797</v>
      </c>
      <c r="P19" s="9">
        <v>45976</v>
      </c>
      <c r="Q19" s="9"/>
      <c r="R19" s="9">
        <v>45976</v>
      </c>
      <c r="S19" s="9">
        <v>44875</v>
      </c>
      <c r="T19" s="9">
        <v>45458</v>
      </c>
      <c r="U19" s="9">
        <v>45672</v>
      </c>
      <c r="V19" s="9">
        <v>44179</v>
      </c>
      <c r="W19" s="9"/>
      <c r="X19" s="9">
        <v>43449</v>
      </c>
      <c r="Y19" s="9">
        <v>44960</v>
      </c>
      <c r="Z19" s="9">
        <v>44885</v>
      </c>
    </row>
    <row r="20" spans="1:26" x14ac:dyDescent="0.25">
      <c r="A20" t="s">
        <v>20</v>
      </c>
      <c r="B20" t="s">
        <v>139</v>
      </c>
      <c r="C20" s="9">
        <v>45976</v>
      </c>
      <c r="D20" s="9"/>
      <c r="E20" s="9"/>
      <c r="F20" s="9">
        <v>45514</v>
      </c>
      <c r="G20" s="9">
        <v>45976</v>
      </c>
      <c r="H20" s="9">
        <v>45514</v>
      </c>
      <c r="I20" s="9"/>
      <c r="J20" s="9"/>
      <c r="K20" s="9"/>
      <c r="L20" s="9"/>
      <c r="M20" s="9">
        <v>45066</v>
      </c>
      <c r="N20" s="9">
        <v>45976</v>
      </c>
      <c r="O20" s="9"/>
      <c r="P20" s="9"/>
      <c r="Q20" s="9">
        <v>44511</v>
      </c>
      <c r="R20" s="9">
        <v>45976</v>
      </c>
      <c r="S20" s="9">
        <v>45514</v>
      </c>
      <c r="T20" s="9">
        <v>45458</v>
      </c>
      <c r="U20" s="9"/>
      <c r="V20" s="9">
        <v>45726</v>
      </c>
      <c r="W20" s="9"/>
      <c r="X20" s="9"/>
      <c r="Y20" s="9"/>
      <c r="Z20" s="9"/>
    </row>
    <row r="21" spans="1:26" x14ac:dyDescent="0.25">
      <c r="A21" t="s">
        <v>20</v>
      </c>
      <c r="B21" t="s">
        <v>143</v>
      </c>
      <c r="C21" s="9">
        <v>45976</v>
      </c>
      <c r="D21" s="9">
        <v>45976</v>
      </c>
      <c r="E21" s="9"/>
      <c r="F21" s="9"/>
      <c r="G21" s="9"/>
      <c r="H21" s="9">
        <v>45066</v>
      </c>
      <c r="I21" s="9"/>
      <c r="J21" s="9">
        <v>45976</v>
      </c>
      <c r="K21" s="9"/>
      <c r="L21" s="9"/>
      <c r="M21" s="9"/>
      <c r="N21" s="9"/>
      <c r="O21" s="9"/>
      <c r="P21" s="9">
        <v>45458</v>
      </c>
      <c r="Q21" s="9"/>
      <c r="R21" s="9"/>
      <c r="S21" s="9"/>
      <c r="T21" s="9">
        <v>45797</v>
      </c>
      <c r="U21" s="9"/>
      <c r="V21" s="9"/>
      <c r="W21" s="9"/>
      <c r="X21" s="9"/>
      <c r="Y21" s="9"/>
      <c r="Z21" s="9"/>
    </row>
    <row r="22" spans="1:26" hidden="1" x14ac:dyDescent="0.25">
      <c r="A22" t="s">
        <v>24</v>
      </c>
      <c r="B22" t="s">
        <v>25</v>
      </c>
      <c r="C22" s="9"/>
      <c r="D22" s="9">
        <v>45976</v>
      </c>
      <c r="E22" s="9">
        <v>45797</v>
      </c>
      <c r="F22" s="9"/>
      <c r="G22" s="9"/>
      <c r="H22" s="9">
        <v>45514</v>
      </c>
      <c r="I22" s="9">
        <v>45976</v>
      </c>
      <c r="J22" s="9">
        <v>45976</v>
      </c>
      <c r="K22" s="9"/>
      <c r="L22" s="9"/>
      <c r="M22" s="9"/>
      <c r="N22" s="9">
        <v>45976</v>
      </c>
      <c r="O22" s="9">
        <v>45458</v>
      </c>
      <c r="P22" s="9">
        <v>45976</v>
      </c>
      <c r="Q22" s="9">
        <v>45054</v>
      </c>
      <c r="R22" s="9">
        <v>45976</v>
      </c>
      <c r="S22" s="9"/>
      <c r="T22" s="9"/>
      <c r="U22" s="9">
        <v>43384</v>
      </c>
      <c r="V22" s="9">
        <v>45669</v>
      </c>
      <c r="W22" s="9">
        <v>43912</v>
      </c>
      <c r="X22" s="9"/>
      <c r="Y22" s="9"/>
      <c r="Z22" s="9"/>
    </row>
    <row r="23" spans="1:26" hidden="1" x14ac:dyDescent="0.25">
      <c r="A23" t="s">
        <v>24</v>
      </c>
      <c r="B23" t="s">
        <v>153</v>
      </c>
      <c r="C23" s="9"/>
      <c r="D23" s="9"/>
      <c r="E23" s="9">
        <v>45706</v>
      </c>
      <c r="F23" s="9"/>
      <c r="G23" s="9"/>
      <c r="H23" s="9">
        <v>45514</v>
      </c>
      <c r="I23" s="9">
        <v>45976</v>
      </c>
      <c r="J23" s="9"/>
      <c r="K23" s="9"/>
      <c r="L23" s="9">
        <v>45514</v>
      </c>
      <c r="M23" s="9"/>
      <c r="N23" s="9">
        <v>45976</v>
      </c>
      <c r="O23" s="9"/>
      <c r="P23" s="9"/>
      <c r="Q23" s="9"/>
      <c r="R23" s="9"/>
      <c r="S23" s="9"/>
      <c r="T23" s="9"/>
      <c r="U23" s="9"/>
      <c r="V23" s="9">
        <v>44434</v>
      </c>
      <c r="W23" s="9">
        <v>45457</v>
      </c>
      <c r="X23" s="9">
        <v>44184</v>
      </c>
      <c r="Y23" s="9">
        <v>44338</v>
      </c>
      <c r="Z23" s="9"/>
    </row>
    <row r="24" spans="1:26" hidden="1" x14ac:dyDescent="0.25">
      <c r="A24" t="s">
        <v>24</v>
      </c>
      <c r="B24" t="s">
        <v>158</v>
      </c>
      <c r="C24" s="9">
        <v>45976</v>
      </c>
      <c r="D24" s="9"/>
      <c r="E24" s="9">
        <v>45458</v>
      </c>
      <c r="F24" s="9"/>
      <c r="G24" s="9">
        <v>45458</v>
      </c>
      <c r="H24" s="9">
        <v>45514</v>
      </c>
      <c r="I24" s="9"/>
      <c r="J24" s="9">
        <v>45738</v>
      </c>
      <c r="K24" s="9">
        <v>45066</v>
      </c>
      <c r="L24" s="9">
        <v>45066</v>
      </c>
      <c r="M24" s="9"/>
      <c r="N24" s="9">
        <v>45797</v>
      </c>
      <c r="O24" s="9">
        <v>45976</v>
      </c>
      <c r="P24" s="9"/>
      <c r="Q24" s="9"/>
      <c r="R24" s="9">
        <v>45976</v>
      </c>
      <c r="S24" s="9">
        <v>44875</v>
      </c>
      <c r="T24" s="9">
        <v>45458</v>
      </c>
      <c r="U24" s="9">
        <v>44323</v>
      </c>
      <c r="V24" s="9"/>
      <c r="W24" s="9">
        <v>45438</v>
      </c>
      <c r="X24" s="9"/>
      <c r="Y24" s="9">
        <v>44928</v>
      </c>
      <c r="Z24" s="9">
        <v>43172</v>
      </c>
    </row>
    <row r="25" spans="1:26" hidden="1" x14ac:dyDescent="0.25">
      <c r="A25" t="s">
        <v>27</v>
      </c>
      <c r="B25" t="s">
        <v>28</v>
      </c>
      <c r="C25" s="9">
        <v>45976</v>
      </c>
      <c r="D25" s="9"/>
      <c r="E25" s="9"/>
      <c r="F25" s="9">
        <v>45514</v>
      </c>
      <c r="G25" s="9">
        <v>45976</v>
      </c>
      <c r="H25" s="9"/>
      <c r="I25" s="9">
        <v>45976</v>
      </c>
      <c r="J25" s="9">
        <v>45458</v>
      </c>
      <c r="K25" s="9">
        <v>45514</v>
      </c>
      <c r="L25" s="9"/>
      <c r="M25" s="9">
        <v>45514</v>
      </c>
      <c r="N25" s="9">
        <v>45458</v>
      </c>
      <c r="O25" s="9"/>
      <c r="P25" s="9">
        <v>45976</v>
      </c>
      <c r="Q25" s="9">
        <v>44156</v>
      </c>
      <c r="R25" s="9">
        <v>45976</v>
      </c>
      <c r="S25" s="9"/>
      <c r="T25" s="9">
        <v>45976</v>
      </c>
      <c r="U25" s="9"/>
      <c r="V25" s="9"/>
      <c r="W25" s="9">
        <v>44448</v>
      </c>
      <c r="X25" s="9"/>
      <c r="Y25" s="9"/>
      <c r="Z25" s="9">
        <v>45687</v>
      </c>
    </row>
    <row r="26" spans="1:26" hidden="1" x14ac:dyDescent="0.25">
      <c r="A26" t="s">
        <v>27</v>
      </c>
      <c r="B26" t="s">
        <v>167</v>
      </c>
      <c r="C26" s="9"/>
      <c r="D26" s="9"/>
      <c r="E26" s="9"/>
      <c r="F26" s="9"/>
      <c r="G26" s="9"/>
      <c r="H26" s="9"/>
      <c r="I26" s="9">
        <v>45976</v>
      </c>
      <c r="J26" s="9"/>
      <c r="K26" s="9">
        <v>45514</v>
      </c>
      <c r="L26" s="9"/>
      <c r="M26" s="9">
        <v>45514</v>
      </c>
      <c r="N26" s="9"/>
      <c r="O26" s="9">
        <v>45976</v>
      </c>
      <c r="P26" s="9">
        <v>45976</v>
      </c>
      <c r="Q26" s="9"/>
      <c r="R26" s="9">
        <v>45797</v>
      </c>
      <c r="S26" s="9"/>
      <c r="T26" s="9"/>
      <c r="U26" s="9">
        <v>45702</v>
      </c>
      <c r="V26" s="9">
        <v>45923</v>
      </c>
      <c r="W26" s="9"/>
      <c r="X26" s="9">
        <v>44562</v>
      </c>
      <c r="Y26" s="9"/>
      <c r="Z26" s="9">
        <v>43152</v>
      </c>
    </row>
    <row r="27" spans="1:26" hidden="1" x14ac:dyDescent="0.25">
      <c r="A27" t="s">
        <v>27</v>
      </c>
      <c r="B27" t="s">
        <v>172</v>
      </c>
      <c r="C27" s="9"/>
      <c r="D27" s="9"/>
      <c r="E27" s="9"/>
      <c r="F27" s="9"/>
      <c r="G27" s="9"/>
      <c r="H27" s="9"/>
      <c r="I27" s="9">
        <v>45458</v>
      </c>
      <c r="J27" s="9">
        <v>45976</v>
      </c>
      <c r="K27" s="9">
        <v>44875</v>
      </c>
      <c r="L27" s="9"/>
      <c r="M27" s="9"/>
      <c r="N27" s="9"/>
      <c r="O27" s="9"/>
      <c r="P27" s="9"/>
      <c r="Q27" s="9"/>
      <c r="R27" s="9"/>
      <c r="S27" s="9">
        <v>45514</v>
      </c>
      <c r="T27" s="9"/>
      <c r="U27" s="9"/>
      <c r="V27" s="9"/>
      <c r="W27" s="9"/>
      <c r="X27" s="9"/>
      <c r="Y27" s="9">
        <v>45627</v>
      </c>
      <c r="Z27" s="9"/>
    </row>
    <row r="28" spans="1:26" hidden="1" x14ac:dyDescent="0.25">
      <c r="A28" t="s">
        <v>30</v>
      </c>
      <c r="B28" t="s">
        <v>31</v>
      </c>
      <c r="C28" s="9">
        <v>45976</v>
      </c>
      <c r="D28" s="9"/>
      <c r="E28" s="9"/>
      <c r="F28" s="9"/>
      <c r="G28" s="9"/>
      <c r="H28" s="9"/>
      <c r="I28" s="9">
        <v>45797</v>
      </c>
      <c r="J28" s="9"/>
      <c r="K28" s="9"/>
      <c r="L28" s="9">
        <v>45514</v>
      </c>
      <c r="M28" s="9"/>
      <c r="N28" s="9">
        <v>45976</v>
      </c>
      <c r="O28" s="9"/>
      <c r="P28" s="9">
        <v>45976</v>
      </c>
      <c r="Q28" s="9">
        <v>45127</v>
      </c>
      <c r="R28" s="9">
        <v>45976</v>
      </c>
      <c r="S28" s="9">
        <v>44875</v>
      </c>
      <c r="T28" s="9"/>
      <c r="U28" s="9">
        <v>45623</v>
      </c>
      <c r="V28" s="9"/>
      <c r="W28" s="9">
        <v>44318</v>
      </c>
      <c r="X28" s="9"/>
      <c r="Y28" s="9">
        <v>44361</v>
      </c>
      <c r="Z28" s="9">
        <v>44639</v>
      </c>
    </row>
    <row r="29" spans="1:26" hidden="1" x14ac:dyDescent="0.25">
      <c r="A29" t="s">
        <v>30</v>
      </c>
      <c r="B29" t="s">
        <v>180</v>
      </c>
      <c r="C29" s="9">
        <v>45976</v>
      </c>
      <c r="D29" s="9">
        <v>45976</v>
      </c>
      <c r="E29" s="9"/>
      <c r="F29" s="9"/>
      <c r="G29" s="9">
        <v>45976</v>
      </c>
      <c r="H29" s="9">
        <v>45514</v>
      </c>
      <c r="I29" s="9">
        <v>45976</v>
      </c>
      <c r="J29" s="9">
        <v>45976</v>
      </c>
      <c r="K29" s="9">
        <v>45514</v>
      </c>
      <c r="L29" s="9"/>
      <c r="M29" s="9"/>
      <c r="N29" s="9">
        <v>45458</v>
      </c>
      <c r="O29" s="9">
        <v>45458</v>
      </c>
      <c r="P29" s="9"/>
      <c r="Q29" s="9">
        <v>44138</v>
      </c>
      <c r="R29" s="9">
        <v>45976</v>
      </c>
      <c r="S29" s="9"/>
      <c r="T29" s="9">
        <v>45797</v>
      </c>
      <c r="U29" s="9">
        <v>45721</v>
      </c>
      <c r="V29" s="9">
        <v>43691</v>
      </c>
      <c r="W29" s="9"/>
      <c r="X29" s="9">
        <v>44455</v>
      </c>
      <c r="Y29" s="9">
        <v>44984</v>
      </c>
      <c r="Z29" s="9"/>
    </row>
    <row r="30" spans="1:26" hidden="1" x14ac:dyDescent="0.25">
      <c r="A30" t="s">
        <v>33</v>
      </c>
      <c r="B30" t="s">
        <v>34</v>
      </c>
      <c r="C30" s="9"/>
      <c r="D30" s="9">
        <v>45458</v>
      </c>
      <c r="E30" s="9">
        <v>45458</v>
      </c>
      <c r="F30" s="9">
        <v>45514</v>
      </c>
      <c r="G30" s="9">
        <v>45696</v>
      </c>
      <c r="H30" s="9">
        <v>45514</v>
      </c>
      <c r="I30" s="9"/>
      <c r="J30" s="9"/>
      <c r="K30" s="9">
        <v>45514</v>
      </c>
      <c r="L30" s="9">
        <v>44875</v>
      </c>
      <c r="M30" s="9">
        <v>44875</v>
      </c>
      <c r="N30" s="9">
        <v>45797</v>
      </c>
      <c r="O30" s="9"/>
      <c r="P30" s="9"/>
      <c r="Q30" s="9">
        <v>44331</v>
      </c>
      <c r="R30" s="9">
        <v>45976</v>
      </c>
      <c r="S30" s="9">
        <v>45514</v>
      </c>
      <c r="T30" s="9"/>
      <c r="U30" s="9"/>
      <c r="V30" s="9"/>
      <c r="W30" s="9">
        <v>45550</v>
      </c>
      <c r="X30" s="9">
        <v>44172</v>
      </c>
      <c r="Y30" s="9">
        <v>44509</v>
      </c>
      <c r="Z30" s="9">
        <v>44660</v>
      </c>
    </row>
    <row r="31" spans="1:26" hidden="1" x14ac:dyDescent="0.25">
      <c r="A31" t="s">
        <v>33</v>
      </c>
      <c r="B31" t="s">
        <v>189</v>
      </c>
      <c r="C31" s="9">
        <v>45458</v>
      </c>
      <c r="D31" s="9"/>
      <c r="E31" s="9">
        <v>45976</v>
      </c>
      <c r="F31" s="9"/>
      <c r="G31" s="9"/>
      <c r="H31" s="9">
        <v>45066</v>
      </c>
      <c r="I31" s="9"/>
      <c r="J31" s="9">
        <v>45976</v>
      </c>
      <c r="K31" s="9"/>
      <c r="L31" s="9">
        <v>45514</v>
      </c>
      <c r="M31" s="9"/>
      <c r="N31" s="9">
        <v>45797</v>
      </c>
      <c r="O31" s="9"/>
      <c r="P31" s="9"/>
      <c r="Q31" s="9"/>
      <c r="R31" s="9">
        <v>45797</v>
      </c>
      <c r="S31" s="9">
        <v>45514</v>
      </c>
      <c r="T31" s="9"/>
      <c r="U31" s="9">
        <v>45718</v>
      </c>
      <c r="V31" s="9"/>
      <c r="W31" s="9"/>
      <c r="X31" s="9">
        <v>45465</v>
      </c>
      <c r="Y31" s="9">
        <v>45116</v>
      </c>
      <c r="Z31" s="9">
        <v>45632</v>
      </c>
    </row>
    <row r="32" spans="1:26" hidden="1" x14ac:dyDescent="0.25">
      <c r="A32" t="s">
        <v>36</v>
      </c>
      <c r="B32" t="s">
        <v>37</v>
      </c>
      <c r="C32" s="9"/>
      <c r="D32" s="9"/>
      <c r="E32" s="9"/>
      <c r="F32" s="9">
        <v>44875</v>
      </c>
      <c r="G32" s="9">
        <v>45458</v>
      </c>
      <c r="H32" s="9">
        <v>45066</v>
      </c>
      <c r="I32" s="9">
        <v>45976</v>
      </c>
      <c r="J32" s="9"/>
      <c r="K32" s="9"/>
      <c r="L32" s="9">
        <v>44875</v>
      </c>
      <c r="M32" s="9"/>
      <c r="N32" s="9"/>
      <c r="O32" s="9">
        <v>45458</v>
      </c>
      <c r="P32" s="9"/>
      <c r="Q32" s="9">
        <v>44250</v>
      </c>
      <c r="R32" s="9"/>
      <c r="S32" s="9"/>
      <c r="T32" s="9"/>
      <c r="U32" s="9"/>
      <c r="V32" s="9">
        <v>45675</v>
      </c>
      <c r="W32" s="9">
        <v>44246</v>
      </c>
      <c r="X32" s="9">
        <v>43745</v>
      </c>
      <c r="Y32" s="9">
        <v>44718</v>
      </c>
      <c r="Z32" s="9">
        <v>43239</v>
      </c>
    </row>
    <row r="33" spans="1:26" hidden="1" x14ac:dyDescent="0.25">
      <c r="A33" t="s">
        <v>36</v>
      </c>
      <c r="B33" t="s">
        <v>198</v>
      </c>
      <c r="C33" s="9"/>
      <c r="D33" s="9"/>
      <c r="E33" s="9"/>
      <c r="F33" s="9">
        <v>45514</v>
      </c>
      <c r="G33" s="9">
        <v>45458</v>
      </c>
      <c r="H33" s="9"/>
      <c r="I33" s="9"/>
      <c r="J33" s="9"/>
      <c r="K33" s="9"/>
      <c r="L33" s="9"/>
      <c r="M33" s="9"/>
      <c r="N33" s="9"/>
      <c r="O33" s="9"/>
      <c r="P33" s="9"/>
      <c r="Q33" s="9">
        <v>45883</v>
      </c>
      <c r="R33" s="9"/>
      <c r="S33" s="9"/>
      <c r="T33" s="9"/>
      <c r="U33" s="9"/>
      <c r="V33" s="9"/>
      <c r="W33" s="9">
        <v>45043</v>
      </c>
      <c r="X33" s="9"/>
      <c r="Y33" s="9"/>
      <c r="Z33" s="9"/>
    </row>
    <row r="34" spans="1:26" hidden="1" x14ac:dyDescent="0.25">
      <c r="A34" t="s">
        <v>39</v>
      </c>
      <c r="B34" t="s">
        <v>203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>
        <v>46136</v>
      </c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idden="1" x14ac:dyDescent="0.25">
      <c r="A35" t="s">
        <v>39</v>
      </c>
      <c r="B35" t="s">
        <v>204</v>
      </c>
      <c r="C35" s="9"/>
      <c r="D35" s="9"/>
      <c r="E35" s="9"/>
      <c r="F35" s="9">
        <v>46059</v>
      </c>
      <c r="G35" s="9"/>
      <c r="H35" s="9">
        <v>46059</v>
      </c>
      <c r="I35" s="9"/>
      <c r="J35" s="9"/>
      <c r="K35" s="9">
        <v>46059</v>
      </c>
      <c r="L35" s="9"/>
      <c r="M35" s="9"/>
      <c r="N35" s="9"/>
      <c r="O35" s="9"/>
      <c r="P35" s="9">
        <v>46136</v>
      </c>
      <c r="Q35" s="9"/>
      <c r="R35" s="9"/>
      <c r="S35" s="9"/>
      <c r="T35" s="9"/>
      <c r="U35" s="9">
        <v>46341</v>
      </c>
      <c r="V35" s="9"/>
      <c r="W35" s="9"/>
      <c r="X35" s="9"/>
      <c r="Y35" s="9"/>
      <c r="Z35" s="9">
        <v>46059</v>
      </c>
    </row>
    <row r="36" spans="1:26" hidden="1" x14ac:dyDescent="0.25"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idden="1" x14ac:dyDescent="0.25"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idden="1" x14ac:dyDescent="0.25"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idden="1" x14ac:dyDescent="0.25"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idden="1" x14ac:dyDescent="0.25"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idden="1" x14ac:dyDescent="0.25"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idden="1" x14ac:dyDescent="0.25"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idden="1" x14ac:dyDescent="0.25"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idden="1" x14ac:dyDescent="0.25"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idden="1" x14ac:dyDescent="0.25"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idden="1" x14ac:dyDescent="0.25"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idden="1" x14ac:dyDescent="0.25"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idden="1" x14ac:dyDescent="0.25"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3:26" hidden="1" x14ac:dyDescent="0.25"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3:26" hidden="1" x14ac:dyDescent="0.25"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3:26" hidden="1" x14ac:dyDescent="0.25"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3:26" hidden="1" x14ac:dyDescent="0.25"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3:26" hidden="1" x14ac:dyDescent="0.25"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3:26" hidden="1" x14ac:dyDescent="0.25"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3:26" hidden="1" x14ac:dyDescent="0.25"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3:26" hidden="1" x14ac:dyDescent="0.25"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3:26" hidden="1" x14ac:dyDescent="0.25"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3:26" hidden="1" x14ac:dyDescent="0.25"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3:26" hidden="1" x14ac:dyDescent="0.25"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3:26" hidden="1" x14ac:dyDescent="0.25"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3:26" hidden="1" x14ac:dyDescent="0.25"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3:26" hidden="1" x14ac:dyDescent="0.25"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3:26" hidden="1" x14ac:dyDescent="0.25"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3:26" hidden="1" x14ac:dyDescent="0.25"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3:26" hidden="1" x14ac:dyDescent="0.25"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3:26" hidden="1" x14ac:dyDescent="0.25"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3:26" hidden="1" x14ac:dyDescent="0.25"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3:26" hidden="1" x14ac:dyDescent="0.25"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3:26" hidden="1" x14ac:dyDescent="0.25"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3:26" hidden="1" x14ac:dyDescent="0.25"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3:26" hidden="1" x14ac:dyDescent="0.25"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3:26" hidden="1" x14ac:dyDescent="0.25"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3:26" hidden="1" x14ac:dyDescent="0.25"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3:26" hidden="1" x14ac:dyDescent="0.25"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3:26" hidden="1" x14ac:dyDescent="0.25"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3:26" hidden="1" x14ac:dyDescent="0.25"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3:26" hidden="1" x14ac:dyDescent="0.25"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3:26" hidden="1" x14ac:dyDescent="0.25"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3:26" hidden="1" x14ac:dyDescent="0.25"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3:26" hidden="1" x14ac:dyDescent="0.25"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3:26" hidden="1" x14ac:dyDescent="0.25"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3:26" hidden="1" x14ac:dyDescent="0.25"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3:26" hidden="1" x14ac:dyDescent="0.25"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3:26" hidden="1" x14ac:dyDescent="0.25"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3:26" hidden="1" x14ac:dyDescent="0.25"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3:26" hidden="1" x14ac:dyDescent="0.25"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3:26" hidden="1" x14ac:dyDescent="0.25"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3:26" hidden="1" x14ac:dyDescent="0.25"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3:26" hidden="1" x14ac:dyDescent="0.25"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3:26" hidden="1" x14ac:dyDescent="0.25"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3:26" hidden="1" x14ac:dyDescent="0.25"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3:26" hidden="1" x14ac:dyDescent="0.25"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3:26" hidden="1" x14ac:dyDescent="0.25"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3:26" hidden="1" x14ac:dyDescent="0.25"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3:26" hidden="1" x14ac:dyDescent="0.25"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3:26" hidden="1" x14ac:dyDescent="0.25"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3:26" hidden="1" x14ac:dyDescent="0.25"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3:26" hidden="1" x14ac:dyDescent="0.25"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3:26" hidden="1" x14ac:dyDescent="0.25"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3:26" hidden="1" x14ac:dyDescent="0.25"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3:26" hidden="1" x14ac:dyDescent="0.25"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3:26" hidden="1" x14ac:dyDescent="0.25"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3:26" hidden="1" x14ac:dyDescent="0.25"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3:26" hidden="1" x14ac:dyDescent="0.25"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3:26" hidden="1" x14ac:dyDescent="0.25"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3:26" hidden="1" x14ac:dyDescent="0.25"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3:26" hidden="1" x14ac:dyDescent="0.25"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3:26" hidden="1" x14ac:dyDescent="0.25"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3:26" hidden="1" x14ac:dyDescent="0.25"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3:26" hidden="1" x14ac:dyDescent="0.25"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3:26" hidden="1" x14ac:dyDescent="0.25"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3:26" hidden="1" x14ac:dyDescent="0.25"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3:26" hidden="1" x14ac:dyDescent="0.25"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3:26" hidden="1" x14ac:dyDescent="0.25"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3:26" hidden="1" x14ac:dyDescent="0.25"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3:26" hidden="1" x14ac:dyDescent="0.25"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3:26" hidden="1" x14ac:dyDescent="0.25"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3:26" hidden="1" x14ac:dyDescent="0.25"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3:26" hidden="1" x14ac:dyDescent="0.25"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3:26" hidden="1" x14ac:dyDescent="0.25"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3:26" hidden="1" x14ac:dyDescent="0.25"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3:26" hidden="1" x14ac:dyDescent="0.25"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3:26" hidden="1" x14ac:dyDescent="0.25"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3:26" hidden="1" x14ac:dyDescent="0.25"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3:26" hidden="1" x14ac:dyDescent="0.25"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3:26" hidden="1" x14ac:dyDescent="0.25"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3:26" hidden="1" x14ac:dyDescent="0.25"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3:26" hidden="1" x14ac:dyDescent="0.25"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3:26" hidden="1" x14ac:dyDescent="0.25"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3:26" hidden="1" x14ac:dyDescent="0.25"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3:26" hidden="1" x14ac:dyDescent="0.25"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3:26" hidden="1" x14ac:dyDescent="0.25"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3:26" hidden="1" x14ac:dyDescent="0.25"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3:26" hidden="1" x14ac:dyDescent="0.25"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3:26" hidden="1" x14ac:dyDescent="0.25"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3:26" hidden="1" x14ac:dyDescent="0.25"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3:26" hidden="1" x14ac:dyDescent="0.25"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3:26" hidden="1" x14ac:dyDescent="0.25"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3:26" hidden="1" x14ac:dyDescent="0.25"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3:26" hidden="1" x14ac:dyDescent="0.25"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3:26" hidden="1" x14ac:dyDescent="0.25"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3:26" hidden="1" x14ac:dyDescent="0.25"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3:26" hidden="1" x14ac:dyDescent="0.25"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3:26" hidden="1" x14ac:dyDescent="0.25"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3:26" hidden="1" x14ac:dyDescent="0.25"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3:26" hidden="1" x14ac:dyDescent="0.25"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3:26" hidden="1" x14ac:dyDescent="0.25"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3:26" hidden="1" x14ac:dyDescent="0.25"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3:26" hidden="1" x14ac:dyDescent="0.25"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3:26" hidden="1" x14ac:dyDescent="0.25"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3:26" hidden="1" x14ac:dyDescent="0.25"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3:26" hidden="1" x14ac:dyDescent="0.25"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3:26" hidden="1" x14ac:dyDescent="0.25"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3:26" hidden="1" x14ac:dyDescent="0.25"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3:26" hidden="1" x14ac:dyDescent="0.25"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3:26" hidden="1" x14ac:dyDescent="0.25"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3:26" hidden="1" x14ac:dyDescent="0.25"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3:26" hidden="1" x14ac:dyDescent="0.25"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3:26" hidden="1" x14ac:dyDescent="0.25"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3:26" hidden="1" x14ac:dyDescent="0.25"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3:26" hidden="1" x14ac:dyDescent="0.25"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3:26" hidden="1" x14ac:dyDescent="0.25"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3:26" hidden="1" x14ac:dyDescent="0.25"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3:26" hidden="1" x14ac:dyDescent="0.25"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3:26" hidden="1" x14ac:dyDescent="0.25"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3:26" hidden="1" x14ac:dyDescent="0.25"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3:26" hidden="1" x14ac:dyDescent="0.25"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3:26" hidden="1" x14ac:dyDescent="0.25"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3:26" hidden="1" x14ac:dyDescent="0.25"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3:26" hidden="1" x14ac:dyDescent="0.25"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3:26" hidden="1" x14ac:dyDescent="0.25"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3:26" hidden="1" x14ac:dyDescent="0.25"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3:26" hidden="1" x14ac:dyDescent="0.25"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3:26" hidden="1" x14ac:dyDescent="0.25"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3:26" hidden="1" x14ac:dyDescent="0.25"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3:26" hidden="1" x14ac:dyDescent="0.25"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3:26" hidden="1" x14ac:dyDescent="0.25"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3:26" hidden="1" x14ac:dyDescent="0.25"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3:26" hidden="1" x14ac:dyDescent="0.25"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3:26" hidden="1" x14ac:dyDescent="0.25"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3:26" hidden="1" x14ac:dyDescent="0.25"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3:26" hidden="1" x14ac:dyDescent="0.25"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3:26" hidden="1" x14ac:dyDescent="0.25"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3:26" hidden="1" x14ac:dyDescent="0.25"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3:26" hidden="1" x14ac:dyDescent="0.25"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3:26" hidden="1" x14ac:dyDescent="0.25"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3:26" hidden="1" x14ac:dyDescent="0.25"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3:26" hidden="1" x14ac:dyDescent="0.25"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3:26" hidden="1" x14ac:dyDescent="0.25"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3:26" hidden="1" x14ac:dyDescent="0.25"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3:26" hidden="1" x14ac:dyDescent="0.25"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3:26" hidden="1" x14ac:dyDescent="0.25"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3:26" hidden="1" x14ac:dyDescent="0.25"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3:26" hidden="1" x14ac:dyDescent="0.25"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3:26" hidden="1" x14ac:dyDescent="0.25"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3:26" hidden="1" x14ac:dyDescent="0.25"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3:26" hidden="1" x14ac:dyDescent="0.25"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3:26" hidden="1" x14ac:dyDescent="0.25"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3:26" hidden="1" x14ac:dyDescent="0.25"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3:26" hidden="1" x14ac:dyDescent="0.25"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autoFilter ref="A2:Z200" xr:uid="{00000000-0009-0000-0000-000005000000}">
    <filterColumn colId="0">
      <filters>
        <filter val="Atlantic Safety Builders, LLC"/>
      </filters>
    </filterColumn>
  </autoFilter>
  <mergeCells count="2">
    <mergeCell ref="C1:O1"/>
    <mergeCell ref="P1:Z1"/>
  </mergeCells>
  <conditionalFormatting sqref="C3:AZ200">
    <cfRule type="expression" dxfId="2" priority="5" stopIfTrue="1">
      <formula>AND(C3&lt;&gt;"",ISNUMBER(C3),(EDATE(C3,12)-TODAY())&lt;=30)</formula>
    </cfRule>
    <cfRule type="expression" dxfId="1" priority="6" stopIfTrue="1">
      <formula>AND(C3&lt;&gt;"",ISNUMBER(C3),(EDATE(C3,12)-TODAY())&gt;30,(EDATE(C3,12)-TODAY())&lt;=60)</formula>
    </cfRule>
    <cfRule type="expression" dxfId="0" priority="7" stopIfTrue="1">
      <formula>AND(C3&lt;&gt;"",ISNUMBER(C3),(EDATE(C3,12)-TODAY())&gt;60)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Dashboard</vt:lpstr>
      <vt:lpstr>Certifications</vt:lpstr>
      <vt:lpstr>Contractors</vt:lpstr>
      <vt:lpstr>Workers</vt:lpstr>
      <vt:lpstr>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Santiago</cp:lastModifiedBy>
  <dcterms:created xsi:type="dcterms:W3CDTF">2026-04-22T14:40:48Z</dcterms:created>
  <dcterms:modified xsi:type="dcterms:W3CDTF">2026-04-27T19:45:37Z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95f39c-8218-4425-a791-63c9e13c8708_Enabled">
    <vt:lpwstr>true</vt:lpwstr>
  </property>
  <property fmtid="{D5CDD505-2E9C-101B-9397-08002B2CF9AE}" pid="3" name="MSIP_Label_7d95f39c-8218-4425-a791-63c9e13c8708_SetDate">
    <vt:lpwstr>2026-04-22T17:48:26Z</vt:lpwstr>
  </property>
  <property fmtid="{D5CDD505-2E9C-101B-9397-08002B2CF9AE}" pid="4" name="MSIP_Label_7d95f39c-8218-4425-a791-63c9e13c8708_Method">
    <vt:lpwstr>Privileged</vt:lpwstr>
  </property>
  <property fmtid="{D5CDD505-2E9C-101B-9397-08002B2CF9AE}" pid="5" name="MSIP_Label_7d95f39c-8218-4425-a791-63c9e13c8708_Name">
    <vt:lpwstr>7d95f39c-8218-4425-a791-63c9e13c8708</vt:lpwstr>
  </property>
  <property fmtid="{D5CDD505-2E9C-101B-9397-08002B2CF9AE}" pid="6" name="MSIP_Label_7d95f39c-8218-4425-a791-63c9e13c8708_SiteId">
    <vt:lpwstr>37247798-f42c-42fd-8a37-d49c7128d36b</vt:lpwstr>
  </property>
  <property fmtid="{D5CDD505-2E9C-101B-9397-08002B2CF9AE}" pid="7" name="MSIP_Label_7d95f39c-8218-4425-a791-63c9e13c8708_ActionId">
    <vt:lpwstr>a480f3aa-b626-4976-8760-887f95fa6a90</vt:lpwstr>
  </property>
  <property fmtid="{D5CDD505-2E9C-101B-9397-08002B2CF9AE}" pid="8" name="MSIP_Label_7d95f39c-8218-4425-a791-63c9e13c8708_ContentBits">
    <vt:lpwstr>0</vt:lpwstr>
  </property>
  <property fmtid="{D5CDD505-2E9C-101B-9397-08002B2CF9AE}" pid="9" name="MSIP_Label_7d95f39c-8218-4425-a791-63c9e13c8708_Tag">
    <vt:lpwstr>10, 0, 1, 1</vt:lpwstr>
  </property>
</Properties>
</file>